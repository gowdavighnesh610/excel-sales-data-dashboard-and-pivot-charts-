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gouri\Downloads\"/>
    </mc:Choice>
  </mc:AlternateContent>
  <xr:revisionPtr revIDLastSave="0" documentId="13_ncr:1_{AEBFA5DE-0752-4B99-9905-C1F1EDF5E393}" xr6:coauthVersionLast="47" xr6:coauthVersionMax="47" xr10:uidLastSave="{00000000-0000-0000-0000-000000000000}"/>
  <bookViews>
    <workbookView xWindow="-120" yWindow="-120" windowWidth="29040" windowHeight="15720" activeTab="3" xr2:uid="{00000000-000D-0000-FFFF-FFFF00000000}"/>
  </bookViews>
  <sheets>
    <sheet name="sales project" sheetId="4" r:id="rId1"/>
    <sheet name="important KPIs" sheetId="5" r:id="rId2"/>
    <sheet name="pivot tables and slicers " sheetId="7" r:id="rId3"/>
    <sheet name="dashboard 1" sheetId="8" r:id="rId4"/>
    <sheet name="dashbioard 2" sheetId="6" r:id="rId5"/>
  </sheets>
  <definedNames>
    <definedName name="Slicer_Category">#N/A</definedName>
    <definedName name="Slicer_City">#N/A</definedName>
    <definedName name="Slicer_Product1">#N/A</definedName>
    <definedName name="Slicer_Region">#N/A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5" l="1"/>
  <c r="B11" i="5"/>
  <c r="B10" i="5"/>
  <c r="R2" i="4"/>
  <c r="R3" i="4"/>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B9" i="5"/>
  <c r="B8" i="5"/>
  <c r="B6" i="5"/>
  <c r="B5" i="5"/>
  <c r="B4" i="5"/>
  <c r="B3" i="5"/>
  <c r="B2" i="5"/>
  <c r="Q2"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 i="4"/>
</calcChain>
</file>

<file path=xl/sharedStrings.xml><?xml version="1.0" encoding="utf-8"?>
<sst xmlns="http://schemas.openxmlformats.org/spreadsheetml/2006/main" count="2139" uniqueCount="350">
  <si>
    <t>OrderID</t>
  </si>
  <si>
    <t>OrderDate</t>
  </si>
  <si>
    <t>Region</t>
  </si>
  <si>
    <t>City</t>
  </si>
  <si>
    <t>Category</t>
  </si>
  <si>
    <t>Product</t>
  </si>
  <si>
    <t>Quantity</t>
  </si>
  <si>
    <t>UnitPrice_INR</t>
  </si>
  <si>
    <t>DiscountPct</t>
  </si>
  <si>
    <t>Sales_INR</t>
  </si>
  <si>
    <t>Cost_INR</t>
  </si>
  <si>
    <t>Profit_INR</t>
  </si>
  <si>
    <t>PaymentMethod</t>
  </si>
  <si>
    <t>Salesperson</t>
  </si>
  <si>
    <t>CustomerType</t>
  </si>
  <si>
    <t>ORD0001</t>
  </si>
  <si>
    <t>West</t>
  </si>
  <si>
    <t>Mumbai</t>
  </si>
  <si>
    <t>Furniture</t>
  </si>
  <si>
    <t>Bookshelf</t>
  </si>
  <si>
    <t>UPI</t>
  </si>
  <si>
    <t>Diya</t>
  </si>
  <si>
    <t>Corporate</t>
  </si>
  <si>
    <t>ORD0002</t>
  </si>
  <si>
    <t>East</t>
  </si>
  <si>
    <t>Kolkata</t>
  </si>
  <si>
    <t>Technology</t>
  </si>
  <si>
    <t>Wireless Mouse</t>
  </si>
  <si>
    <t>Net Banking</t>
  </si>
  <si>
    <t>Aarav</t>
  </si>
  <si>
    <t>ORD0003</t>
  </si>
  <si>
    <t>South</t>
  </si>
  <si>
    <t>Mysuru</t>
  </si>
  <si>
    <t>USB Drive</t>
  </si>
  <si>
    <t>Credit Card</t>
  </si>
  <si>
    <t>Rohan</t>
  </si>
  <si>
    <t>Returning</t>
  </si>
  <si>
    <t>ORD0004</t>
  </si>
  <si>
    <t>North</t>
  </si>
  <si>
    <t>Jaipur</t>
  </si>
  <si>
    <t>Headphones</t>
  </si>
  <si>
    <t>Ananya</t>
  </si>
  <si>
    <t>ORD0005</t>
  </si>
  <si>
    <t>Delhi</t>
  </si>
  <si>
    <t>Table Lamp</t>
  </si>
  <si>
    <t>Kabir</t>
  </si>
  <si>
    <t>ORD0006</t>
  </si>
  <si>
    <t>Office Chair</t>
  </si>
  <si>
    <t>Meera</t>
  </si>
  <si>
    <t>New</t>
  </si>
  <si>
    <t>ORD0007</t>
  </si>
  <si>
    <t>Patna</t>
  </si>
  <si>
    <t>Office Supplies</t>
  </si>
  <si>
    <t>File Folder</t>
  </si>
  <si>
    <t>Debit Card</t>
  </si>
  <si>
    <t>ORD0008</t>
  </si>
  <si>
    <t>Filing Cabinet</t>
  </si>
  <si>
    <t>Sara</t>
  </si>
  <si>
    <t>ORD0009</t>
  </si>
  <si>
    <t>ORD0010</t>
  </si>
  <si>
    <t>Pune</t>
  </si>
  <si>
    <t>Cash</t>
  </si>
  <si>
    <t>ORD0011</t>
  </si>
  <si>
    <t>Bhubaneswar</t>
  </si>
  <si>
    <t>Pens Pack</t>
  </si>
  <si>
    <t>ORD0012</t>
  </si>
  <si>
    <t>Keyboard</t>
  </si>
  <si>
    <t>ORD0013</t>
  </si>
  <si>
    <t>ORD0014</t>
  </si>
  <si>
    <t>Footrest</t>
  </si>
  <si>
    <t>ORD0015</t>
  </si>
  <si>
    <t>ORD0016</t>
  </si>
  <si>
    <t>ORD0017</t>
  </si>
  <si>
    <t>Desk Organizer</t>
  </si>
  <si>
    <t>ORD0018</t>
  </si>
  <si>
    <t>Study Desk</t>
  </si>
  <si>
    <t>ORD0019</t>
  </si>
  <si>
    <t>ORD0020</t>
  </si>
  <si>
    <t>ORD0021</t>
  </si>
  <si>
    <t>Bengaluru</t>
  </si>
  <si>
    <t>Laptop Stand</t>
  </si>
  <si>
    <t>ORD0022</t>
  </si>
  <si>
    <t>ORD0023</t>
  </si>
  <si>
    <t>Guwahati</t>
  </si>
  <si>
    <t>ORD0024</t>
  </si>
  <si>
    <t>ORD0025</t>
  </si>
  <si>
    <t>ORD0026</t>
  </si>
  <si>
    <t>ORD0027</t>
  </si>
  <si>
    <t>Notebook Pack</t>
  </si>
  <si>
    <t>ORD0028</t>
  </si>
  <si>
    <t>Chandigarh</t>
  </si>
  <si>
    <t>ORD0029</t>
  </si>
  <si>
    <t>Ishaan</t>
  </si>
  <si>
    <t>ORD0030</t>
  </si>
  <si>
    <t>Monitor</t>
  </si>
  <si>
    <t>ORD0031</t>
  </si>
  <si>
    <t>ORD0032</t>
  </si>
  <si>
    <t>Printer Paper</t>
  </si>
  <si>
    <t>ORD0033</t>
  </si>
  <si>
    <t>ORD0034</t>
  </si>
  <si>
    <t>Hyderabad</t>
  </si>
  <si>
    <t>ORD0035</t>
  </si>
  <si>
    <t>ORD0036</t>
  </si>
  <si>
    <t>ORD0037</t>
  </si>
  <si>
    <t>Nagpur</t>
  </si>
  <si>
    <t>ORD0038</t>
  </si>
  <si>
    <t>ORD0039</t>
  </si>
  <si>
    <t>ORD0040</t>
  </si>
  <si>
    <t>Stapler</t>
  </si>
  <si>
    <t>ORD0041</t>
  </si>
  <si>
    <t>ORD0042</t>
  </si>
  <si>
    <t>ORD0043</t>
  </si>
  <si>
    <t>ORD0044</t>
  </si>
  <si>
    <t>ORD0045</t>
  </si>
  <si>
    <t>ORD0046</t>
  </si>
  <si>
    <t>ORD0047</t>
  </si>
  <si>
    <t>ORD0048</t>
  </si>
  <si>
    <t>ORD0049</t>
  </si>
  <si>
    <t>ORD0050</t>
  </si>
  <si>
    <t>ORD0051</t>
  </si>
  <si>
    <t>ORD0052</t>
  </si>
  <si>
    <t>ORD0053</t>
  </si>
  <si>
    <t>ORD0054</t>
  </si>
  <si>
    <t>Chennai</t>
  </si>
  <si>
    <t>ORD0055</t>
  </si>
  <si>
    <t>ORD0056</t>
  </si>
  <si>
    <t>ORD0057</t>
  </si>
  <si>
    <t>ORD0058</t>
  </si>
  <si>
    <t>ORD0059</t>
  </si>
  <si>
    <t>ORD0060</t>
  </si>
  <si>
    <t>ORD0061</t>
  </si>
  <si>
    <t>ORD0062</t>
  </si>
  <si>
    <t>ORD0063</t>
  </si>
  <si>
    <t>ORD0064</t>
  </si>
  <si>
    <t>ORD0065</t>
  </si>
  <si>
    <t>ORD0066</t>
  </si>
  <si>
    <t>ORD0067</t>
  </si>
  <si>
    <t>ORD0068</t>
  </si>
  <si>
    <t>ORD0069</t>
  </si>
  <si>
    <t>Nashik</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</si>
  <si>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</si>
  <si>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</si>
  <si>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</si>
  <si>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</si>
  <si>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</si>
  <si>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</si>
  <si>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</si>
  <si>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</si>
  <si>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</si>
  <si>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</si>
  <si>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</si>
  <si>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</si>
  <si>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</si>
  <si>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</si>
  <si>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</si>
  <si>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</si>
  <si>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</si>
  <si>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</si>
  <si>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</si>
  <si>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</si>
  <si>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</si>
  <si>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</si>
  <si>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</si>
  <si>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</si>
  <si>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</si>
  <si>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</si>
  <si>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</si>
  <si>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</si>
  <si>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</si>
  <si>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</si>
  <si>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Lucknow</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</si>
  <si>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</si>
  <si>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</si>
  <si>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</si>
  <si>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</si>
  <si>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</si>
  <si>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</si>
  <si>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</si>
  <si>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</si>
  <si>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</si>
  <si>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</si>
  <si>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</si>
  <si>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</si>
  <si>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</si>
  <si>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</si>
  <si>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</si>
  <si>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</si>
  <si>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</si>
  <si>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</si>
  <si>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</si>
  <si>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</si>
  <si>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</si>
  <si>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</si>
  <si>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</si>
  <si>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</si>
  <si>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</si>
  <si>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</si>
  <si>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</si>
  <si>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</si>
  <si>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</si>
  <si>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</si>
  <si>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</si>
  <si>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</si>
  <si>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</si>
  <si>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</si>
  <si>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</si>
  <si>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</si>
  <si>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</si>
  <si>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</si>
  <si>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</si>
  <si>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</si>
  <si>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</si>
  <si>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</si>
  <si>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</si>
  <si>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</si>
  <si>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</si>
  <si>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</si>
  <si>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</si>
  <si>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</si>
  <si>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</si>
  <si>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</si>
  <si>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</si>
  <si>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</si>
  <si>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</si>
  <si>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</si>
  <si>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</si>
  <si>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</si>
  <si>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</si>
  <si>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</si>
  <si>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</si>
  <si>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</si>
  <si>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</si>
  <si>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</si>
  <si>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</si>
  <si>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</si>
  <si>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</si>
  <si>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</si>
  <si>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</si>
  <si>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</si>
  <si>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</si>
  <si>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</si>
  <si>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</si>
  <si>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</si>
  <si>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</si>
  <si>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</si>
  <si>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</si>
  <si>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</si>
  <si>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</si>
  <si>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</si>
  <si>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</si>
  <si>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</si>
  <si>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</si>
  <si>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</si>
  <si>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</si>
  <si>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</si>
  <si>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</si>
  <si>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</si>
  <si>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</si>
  <si>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</si>
  <si>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</si>
  <si>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</si>
  <si>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</si>
  <si>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</si>
  <si>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</si>
  <si>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</si>
  <si>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</si>
  <si>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</si>
  <si>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</si>
  <si>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</si>
  <si>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</si>
  <si>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</si>
  <si>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</si>
  <si>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</si>
  <si>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</si>
  <si>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</si>
  <si>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</si>
  <si>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</si>
  <si>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</si>
  <si>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</si>
  <si>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</si>
  <si>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</si>
  <si>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</si>
  <si>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</si>
  <si>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</si>
  <si>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</si>
  <si>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</si>
  <si>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</si>
  <si>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</si>
  <si>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</si>
  <si>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</si>
  <si>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</si>
  <si>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</si>
  <si>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</si>
  <si>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</si>
  <si>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</si>
  <si>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</si>
  <si>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</si>
  <si>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</si>
  <si>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</si>
  <si>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</si>
  <si>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</si>
  <si>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</si>
  <si>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</si>
  <si>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</si>
  <si>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</si>
  <si>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</si>
  <si>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</si>
  <si>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</si>
  <si>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</si>
  <si>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</si>
  <si>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</si>
  <si>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</si>
  <si>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</si>
  <si>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</si>
  <si>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</si>
  <si>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</si>
  <si>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</si>
  <si>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</si>
  <si>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</si>
  <si>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</si>
  <si>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</si>
  <si>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</si>
  <si>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profit margin</t>
  </si>
  <si>
    <t>profit status</t>
  </si>
  <si>
    <t>total profit</t>
  </si>
  <si>
    <t>kpi</t>
  </si>
  <si>
    <t>value</t>
  </si>
  <si>
    <t>total sales</t>
  </si>
  <si>
    <t>total orders</t>
  </si>
  <si>
    <t>total quantity</t>
  </si>
  <si>
    <t>average discount</t>
  </si>
  <si>
    <t xml:space="preserve">avearge  sales </t>
  </si>
  <si>
    <t>sales in mysuru</t>
  </si>
  <si>
    <t>profit from furniture</t>
  </si>
  <si>
    <t>impact</t>
  </si>
  <si>
    <t>Bookshelf sales in mumbai</t>
  </si>
  <si>
    <t>Furniture profit in mubai above 2000</t>
  </si>
  <si>
    <t>Row Labels</t>
  </si>
  <si>
    <t>Grand Total</t>
  </si>
  <si>
    <t>Sum of Profit_INR</t>
  </si>
  <si>
    <t xml:space="preserve">dashboard of sales data </t>
  </si>
  <si>
    <t>regions</t>
  </si>
  <si>
    <t>region and city wise cost</t>
  </si>
  <si>
    <t>cities</t>
  </si>
  <si>
    <t>category</t>
  </si>
  <si>
    <t>product and category wise profit</t>
  </si>
  <si>
    <t>category wise cost</t>
  </si>
  <si>
    <t>profit by products</t>
  </si>
  <si>
    <t>region wise sales</t>
  </si>
  <si>
    <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</si>
</sst>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 #,##0.00;&quot;₹&quot;\ \-#,##0.00"/>
    <numFmt numFmtId="164" formatCode="&quot;₹&quot;#,##0.00"/>
    <numFmt numFmtId="165" formatCode="[$-14009]dd/mm/yyyy;@"/>
    <numFmt numFmtId="166" formatCode="&quot;₹&quot;\ #,##0.00"/>
  </numFmts>
  <fonts count="3" x14ac:knownFonts="1">
    <font>
      <sz val="11"/>
      <color theme="1"/>
      <name val="Calibri"/>
      <family val="2"/>
      <scheme val="minor"/>
    </font>
    <font>
      <b/>
      <sz val="11"/>
      <color rgb="FFFFFFFF"/>
      <name val="Calibri"/>
      <family val="2"/>
    </font>
    <font>
      <b/>
      <sz val="36"/>
      <color theme="1"/>
      <name val="Calibri"/>
      <family val="2"/>
      <scheme val="minor"/>
    </font>
  </fonts>
  <fills count="6">
    <fill>
      <patternFill patternType="none"/>
    </fill>
    <fill>
      <patternFill patternType="gray125"/>
    </fill>
    <fill>
      <patternFill patternType="solid">
        <fgColor theme="0" tint="-0.14999847407452621"/>
        <bgColor theme="0" tint="-0.14999847407452621"/>
      </patternFill>
    </fill>
    <fill>
      <patternFill patternType="solid">
        <fgColor rgb="FF1F4E78"/>
        <bgColor indexed="64"/>
      </patternFill>
    </fill>
    <fill>
      <patternFill patternType="solid">
        <fgColor theme="5" tint="0.59999389629810485"/>
        <bgColor indexed="64"/>
      </patternFill>
    </fill>
    <fill>
      <patternFill patternType="solid">
        <fgColor theme="5" tint="0.39997558519241921"/>
        <bgColor indexed="64"/>
      </patternFill>
    </fill>
  </fills>
  <borders count="3">
    <border>
      <left/>
      <right/>
      <top/>
      <bottom/>
      <diagonal/>
    </border>
    <border>
      <left/>
      <right/>
      <top style="thin">
        <color theme="1"/>
      </top>
      <bottom style="thin">
        <color theme="1"/>
      </bottom>
      <diagonal/>
    </border>
    <border>
      <left/>
      <right/>
      <top/>
      <bottom style="thin">
        <color theme="1"/>
      </bottom>
      <diagonal/>
    </border>
  </borders>
  <cellStyleXfs count="1">
    <xf numFmtId="0" fontId="0" fillId="0" borderId="0"/>
  </cellStyleXfs>
  <cellXfs count="26">
    <xf numFmtId="0" fontId="0" fillId="0" borderId="0" xfId="0"/>
    <xf numFmtId="164" fontId="0" fillId="0" borderId="0" xfId="0" applyNumberFormat="1"/>
    <xf numFmtId="0" fontId="1" fillId="3" borderId="0" xfId="0" applyFont="1" applyFill="1" applyAlignment="1">
      <alignment horizontal="center"/>
    </xf>
    <xf numFmtId="0" fontId="0" fillId="2" borderId="0" xfId="0" applyFill="1"/>
    <xf numFmtId="0" fontId="0" fillId="0" borderId="2" xfId="0" applyBorder="1"/>
    <xf numFmtId="165" fontId="0" fillId="2" borderId="0" xfId="0" applyNumberFormat="1" applyFill="1"/>
    <xf numFmtId="164" fontId="0" fillId="2" borderId="0" xfId="0" applyNumberFormat="1" applyFill="1"/>
    <xf numFmtId="9" fontId="0" fillId="2" borderId="0" xfId="0" applyNumberFormat="1" applyFill="1"/>
    <xf numFmtId="165" fontId="0" fillId="0" borderId="0" xfId="0" applyNumberFormat="1"/>
    <xf numFmtId="9" fontId="0" fillId="0" borderId="0" xfId="0" applyNumberFormat="1"/>
    <xf numFmtId="165" fontId="0" fillId="0" borderId="2" xfId="0" applyNumberFormat="1" applyBorder="1"/>
    <xf numFmtId="164" fontId="0" fillId="0" borderId="2" xfId="0" applyNumberFormat="1" applyBorder="1"/>
    <xf numFmtId="9" fontId="0" fillId="0" borderId="2" xfId="0" applyNumberFormat="1" applyBorder="1"/>
    <xf numFmtId="0" fontId="1" fillId="3" borderId="1" xfId="0" applyFont="1" applyFill="1" applyBorder="1" applyAlignment="1">
      <alignment horizontal="center"/>
    </xf>
    <xf numFmtId="165" fontId="1" fillId="3" borderId="1" xfId="0" applyNumberFormat="1" applyFont="1" applyFill="1" applyBorder="1" applyAlignment="1">
      <alignment horizontal="center"/>
    </xf>
    <xf numFmtId="166"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4" borderId="0" xfId="0" applyFill="1"/>
    <xf numFmtId="14" fontId="0" fillId="4" borderId="0" xfId="0" applyNumberFormat="1" applyFill="1"/>
    <xf numFmtId="0" fontId="2" fillId="4" borderId="0" xfId="0" applyFont="1" applyFill="1"/>
    <xf numFmtId="0" fontId="0" fillId="5" borderId="0" xfId="0" applyFill="1"/>
    <xf numFmtId="7" fontId="0" fillId="0" borderId="0" xfId="0" applyNumberFormat="1"/>
    <xf numFmtId="0" fontId="2" fillId="4" borderId="0" xfId="0" applyFont="1" applyFill="1" applyAlignment="1">
      <alignment horizontal="center"/>
    </xf>
  </cellXfs>
  <cellStyles count="1">
    <cellStyle name="Normal" xfId="0" builtinId="0"/>
  </cellStyles>
  <dxfs count="20">
    <dxf>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4" formatCode="&quot;₹&quot;#,##0.00"/>
    </dxf>
    <dxf>
      <font>
        <b val="0"/>
        <i val="0"/>
        <strike val="0"/>
        <condense val="0"/>
        <extend val="0"/>
        <outline val="0"/>
        <shadow val="0"/>
        <u val="none"/>
        <vertAlign val="baseline"/>
        <sz val="11"/>
        <color theme="1"/>
        <name val="Calibri"/>
        <family val="2"/>
        <scheme val="minor"/>
      </font>
      <numFmt numFmtId="164" formatCode="&quot;₹&quot;#,##0.00"/>
    </dxf>
    <dxf>
      <font>
        <b val="0"/>
        <i val="0"/>
        <strike val="0"/>
        <condense val="0"/>
        <extend val="0"/>
        <outline val="0"/>
        <shadow val="0"/>
        <u val="none"/>
        <vertAlign val="baseline"/>
        <sz val="11"/>
        <color theme="1"/>
        <name val="Calibri"/>
        <family val="2"/>
        <scheme val="minor"/>
      </font>
      <numFmt numFmtId="164" formatCode="&quot;₹&quot;#,##0.00"/>
    </dxf>
    <dxf>
      <font>
        <b val="0"/>
        <i val="0"/>
        <strike val="0"/>
        <condense val="0"/>
        <extend val="0"/>
        <outline val="0"/>
        <shadow val="0"/>
        <u val="none"/>
        <vertAlign val="baseline"/>
        <sz val="11"/>
        <color theme="1"/>
        <name val="Calibri"/>
        <family val="2"/>
        <scheme val="minor"/>
      </font>
      <numFmt numFmtId="13" formatCode="0%"/>
    </dxf>
    <dxf>
      <font>
        <b val="0"/>
        <i val="0"/>
        <strike val="0"/>
        <condense val="0"/>
        <extend val="0"/>
        <outline val="0"/>
        <shadow val="0"/>
        <u val="none"/>
        <vertAlign val="baseline"/>
        <sz val="11"/>
        <color theme="1"/>
        <name val="Calibri"/>
        <family val="2"/>
        <scheme val="minor"/>
      </font>
      <numFmt numFmtId="164" formatCode="&quot;₹&quot;#,##0.0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14009]dd/mm/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rgb="FFFFFFFF"/>
        <name val="Calibri"/>
        <family val="2"/>
        <scheme val="none"/>
      </font>
      <fill>
        <patternFill patternType="solid">
          <fgColor indexed="64"/>
          <bgColor rgb="FF1F4E78"/>
        </patternFill>
      </fill>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project.xlsx]pivot tables and slicers !PivotTable13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a:t>
            </a:r>
            <a:r>
              <a:rPr lang="en-US" baseline="0"/>
              <a:t> and category wise profit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slicers '!$B$84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tables and slicers '!$A$85:$A$106</c:f>
              <c:multiLvlStrCache>
                <c:ptCount val="18"/>
                <c:lvl>
                  <c:pt idx="0">
                    <c:v>Bookshelf</c:v>
                  </c:pt>
                  <c:pt idx="1">
                    <c:v>Filing Cabinet</c:v>
                  </c:pt>
                  <c:pt idx="2">
                    <c:v>Footrest</c:v>
                  </c:pt>
                  <c:pt idx="3">
                    <c:v>Office Chair</c:v>
                  </c:pt>
                  <c:pt idx="4">
                    <c:v>Study Desk</c:v>
                  </c:pt>
                  <c:pt idx="5">
                    <c:v>Table Lamp</c:v>
                  </c:pt>
                  <c:pt idx="6">
                    <c:v>Desk Organizer</c:v>
                  </c:pt>
                  <c:pt idx="7">
                    <c:v>File Folder</c:v>
                  </c:pt>
                  <c:pt idx="8">
                    <c:v>Notebook Pack</c:v>
                  </c:pt>
                  <c:pt idx="9">
                    <c:v>Pens Pack</c:v>
                  </c:pt>
                  <c:pt idx="10">
                    <c:v>Printer Paper</c:v>
                  </c:pt>
                  <c:pt idx="11">
                    <c:v>Stapler</c:v>
                  </c:pt>
                  <c:pt idx="12">
                    <c:v>Headphones</c:v>
                  </c:pt>
                  <c:pt idx="13">
                    <c:v>Keyboard</c:v>
                  </c:pt>
                  <c:pt idx="14">
                    <c:v>Laptop Stand</c:v>
                  </c:pt>
                  <c:pt idx="15">
                    <c:v>Monitor</c:v>
                  </c:pt>
                  <c:pt idx="16">
                    <c:v>USB Drive</c:v>
                  </c:pt>
                  <c:pt idx="17">
                    <c:v>Wireless Mouse</c:v>
                  </c:pt>
                </c:lvl>
                <c:lvl>
                  <c:pt idx="0">
                    <c:v>Furniture</c:v>
                  </c:pt>
                  <c:pt idx="6">
                    <c:v>Office Supplies</c:v>
                  </c:pt>
                  <c:pt idx="12">
                    <c:v>Technology</c:v>
                  </c:pt>
                </c:lvl>
              </c:multiLvlStrCache>
            </c:multiLvlStrRef>
          </c:cat>
          <c:val>
            <c:numRef>
              <c:f>'pivot tables and slicers '!$B$85:$B$106</c:f>
              <c:numCache>
                <c:formatCode>"₹"#,##0.00</c:formatCode>
                <c:ptCount val="18"/>
                <c:pt idx="0">
                  <c:v>99630</c:v>
                </c:pt>
                <c:pt idx="1">
                  <c:v>150360</c:v>
                </c:pt>
                <c:pt idx="2">
                  <c:v>58410</c:v>
                </c:pt>
                <c:pt idx="3">
                  <c:v>77690</c:v>
                </c:pt>
                <c:pt idx="4">
                  <c:v>135000</c:v>
                </c:pt>
                <c:pt idx="5">
                  <c:v>31680</c:v>
                </c:pt>
                <c:pt idx="6">
                  <c:v>13350</c:v>
                </c:pt>
                <c:pt idx="7">
                  <c:v>5653.5</c:v>
                </c:pt>
                <c:pt idx="8">
                  <c:v>10060</c:v>
                </c:pt>
                <c:pt idx="9">
                  <c:v>5350</c:v>
                </c:pt>
                <c:pt idx="10">
                  <c:v>7417</c:v>
                </c:pt>
                <c:pt idx="11">
                  <c:v>2943</c:v>
                </c:pt>
                <c:pt idx="12">
                  <c:v>29090</c:v>
                </c:pt>
                <c:pt idx="13">
                  <c:v>22990</c:v>
                </c:pt>
                <c:pt idx="14">
                  <c:v>39640</c:v>
                </c:pt>
                <c:pt idx="15">
                  <c:v>53950</c:v>
                </c:pt>
                <c:pt idx="16">
                  <c:v>15387.5</c:v>
                </c:pt>
                <c:pt idx="17">
                  <c:v>14905</c:v>
                </c:pt>
              </c:numCache>
            </c:numRef>
          </c:val>
          <c:extLst>
            <c:ext xmlns:c16="http://schemas.microsoft.com/office/drawing/2014/chart" uri="{C3380CC4-5D6E-409C-BE32-E72D297353CC}">
              <c16:uniqueId val="{00000000-0590-40AA-9972-BA80B73A5E14}"/>
            </c:ext>
          </c:extLst>
        </c:ser>
        <c:dLbls>
          <c:dLblPos val="outEnd"/>
          <c:showLegendKey val="0"/>
          <c:showVal val="1"/>
          <c:showCatName val="0"/>
          <c:showSerName val="0"/>
          <c:showPercent val="0"/>
          <c:showBubbleSize val="0"/>
        </c:dLbls>
        <c:gapWidth val="100"/>
        <c:overlap val="-24"/>
        <c:axId val="1567015215"/>
        <c:axId val="1567015695"/>
      </c:barChart>
      <c:catAx>
        <c:axId val="15670152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7015695"/>
        <c:crosses val="autoZero"/>
        <c:auto val="1"/>
        <c:lblAlgn val="ctr"/>
        <c:lblOffset val="100"/>
        <c:noMultiLvlLbl val="0"/>
      </c:catAx>
      <c:valAx>
        <c:axId val="1567015695"/>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701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project.xlsx]pivot tables and slicers !PivotTable2</c:name>
    <c:fmtId val="2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region wise sales </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539085526930487E-2"/>
          <c:y val="0.17463963001075433"/>
          <c:w val="0.7617096892014712"/>
          <c:h val="0.7526110002061861"/>
        </c:manualLayout>
      </c:layout>
      <c:barChart>
        <c:barDir val="bar"/>
        <c:grouping val="clustered"/>
        <c:varyColors val="0"/>
        <c:ser>
          <c:idx val="0"/>
          <c:order val="0"/>
          <c:tx>
            <c:strRef>
              <c:f>'pivot tables and slicers '!$B$3</c:f>
              <c:strCache>
                <c:ptCount val="1"/>
                <c:pt idx="0">
                  <c:v>Total</c:v>
                </c:pt>
              </c:strCache>
            </c:strRef>
          </c:tx>
          <c:spPr>
            <a:pattFill prst="ltUpDiag">
              <a:fgClr>
                <a:schemeClr val="accent1"/>
              </a:fgClr>
              <a:bgClr>
                <a:schemeClr val="lt1"/>
              </a:bgClr>
            </a:pattFill>
            <a:ln>
              <a:noFill/>
            </a:ln>
            <a:effectLst/>
          </c:spPr>
          <c:invertIfNegative val="0"/>
          <c:dLbls>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trendline>
            <c:spPr>
              <a:ln w="28575" cap="rnd">
                <a:solidFill>
                  <a:schemeClr val="lt1">
                    <a:alpha val="50000"/>
                  </a:schemeClr>
                </a:solidFill>
                <a:round/>
              </a:ln>
              <a:effectLst/>
            </c:spPr>
            <c:trendlineType val="linear"/>
            <c:dispRSqr val="0"/>
            <c:dispEq val="0"/>
          </c:trendline>
          <c:cat>
            <c:strRef>
              <c:f>'pivot tables and slicers '!$A$4:$A$8</c:f>
              <c:strCache>
                <c:ptCount val="4"/>
                <c:pt idx="0">
                  <c:v>East</c:v>
                </c:pt>
                <c:pt idx="1">
                  <c:v>North</c:v>
                </c:pt>
                <c:pt idx="2">
                  <c:v>South</c:v>
                </c:pt>
                <c:pt idx="3">
                  <c:v>West</c:v>
                </c:pt>
              </c:strCache>
            </c:strRef>
          </c:cat>
          <c:val>
            <c:numRef>
              <c:f>'pivot tables and slicers '!$B$4:$B$8</c:f>
              <c:numCache>
                <c:formatCode>"₹"#,##0.00</c:formatCode>
                <c:ptCount val="4"/>
                <c:pt idx="0">
                  <c:v>1126155.5</c:v>
                </c:pt>
                <c:pt idx="1">
                  <c:v>843232.5</c:v>
                </c:pt>
                <c:pt idx="2">
                  <c:v>803864.5</c:v>
                </c:pt>
                <c:pt idx="3">
                  <c:v>573793.5</c:v>
                </c:pt>
              </c:numCache>
            </c:numRef>
          </c:val>
          <c:extLst>
            <c:ext xmlns:c16="http://schemas.microsoft.com/office/drawing/2014/chart" uri="{C3380CC4-5D6E-409C-BE32-E72D297353CC}">
              <c16:uniqueId val="{00000001-0D3A-4A7E-BEC3-767499708D5A}"/>
            </c:ext>
          </c:extLst>
        </c:ser>
        <c:dLbls>
          <c:dLblPos val="outEnd"/>
          <c:showLegendKey val="0"/>
          <c:showVal val="1"/>
          <c:showCatName val="0"/>
          <c:showSerName val="0"/>
          <c:showPercent val="0"/>
          <c:showBubbleSize val="0"/>
        </c:dLbls>
        <c:gapWidth val="269"/>
        <c:overlap val="-20"/>
        <c:axId val="1444176175"/>
        <c:axId val="1444181455"/>
      </c:barChart>
      <c:catAx>
        <c:axId val="1444176175"/>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444181455"/>
        <c:crosses val="autoZero"/>
        <c:auto val="1"/>
        <c:lblAlgn val="ctr"/>
        <c:lblOffset val="100"/>
        <c:noMultiLvlLbl val="0"/>
      </c:catAx>
      <c:valAx>
        <c:axId val="1444181455"/>
        <c:scaling>
          <c:orientation val="minMax"/>
        </c:scaling>
        <c:delete val="0"/>
        <c:axPos val="b"/>
        <c:majorGridlines>
          <c:spPr>
            <a:ln w="9525" cap="flat" cmpd="sng" algn="ctr">
              <a:solidFill>
                <a:schemeClr val="lt1">
                  <a:alpha val="2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44176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profit by products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192983164991532E-2"/>
          <c:y val="0.12088129148049223"/>
          <c:w val="0.86204938332551695"/>
          <c:h val="0.71354397156051697"/>
        </c:manualLayout>
      </c:layout>
      <c:barChart>
        <c:barDir val="col"/>
        <c:grouping val="clustered"/>
        <c:varyColors val="0"/>
        <c:ser>
          <c:idx val="0"/>
          <c:order val="0"/>
          <c:tx>
            <c:v>Total</c:v>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18"/>
              <c:pt idx="0">
                <c:v>Bookshelf</c:v>
              </c:pt>
              <c:pt idx="1">
                <c:v>Desk Organizer</c:v>
              </c:pt>
              <c:pt idx="2">
                <c:v>File Folder</c:v>
              </c:pt>
              <c:pt idx="3">
                <c:v>Filing Cabinet</c:v>
              </c:pt>
              <c:pt idx="4">
                <c:v>Footrest</c:v>
              </c:pt>
              <c:pt idx="5">
                <c:v>Headphones</c:v>
              </c:pt>
              <c:pt idx="6">
                <c:v>Keyboard</c:v>
              </c:pt>
              <c:pt idx="7">
                <c:v>Laptop Stand</c:v>
              </c:pt>
              <c:pt idx="8">
                <c:v>Monitor</c:v>
              </c:pt>
              <c:pt idx="9">
                <c:v>Notebook Pack</c:v>
              </c:pt>
              <c:pt idx="10">
                <c:v>Office Chair</c:v>
              </c:pt>
              <c:pt idx="11">
                <c:v>Pens Pack</c:v>
              </c:pt>
              <c:pt idx="12">
                <c:v>Printer Paper</c:v>
              </c:pt>
              <c:pt idx="13">
                <c:v>Stapler</c:v>
              </c:pt>
              <c:pt idx="14">
                <c:v>Study Desk</c:v>
              </c:pt>
              <c:pt idx="15">
                <c:v>Table Lamp</c:v>
              </c:pt>
              <c:pt idx="16">
                <c:v>USB Drive</c:v>
              </c:pt>
              <c:pt idx="17">
                <c:v>Wireless Mouse</c:v>
              </c:pt>
            </c:strLit>
          </c:cat>
          <c:val>
            <c:numLit>
              <c:formatCode>General</c:formatCode>
              <c:ptCount val="18"/>
              <c:pt idx="0">
                <c:v>99630</c:v>
              </c:pt>
              <c:pt idx="1">
                <c:v>13350</c:v>
              </c:pt>
              <c:pt idx="2">
                <c:v>5653.5</c:v>
              </c:pt>
              <c:pt idx="3">
                <c:v>150360</c:v>
              </c:pt>
              <c:pt idx="4">
                <c:v>58410</c:v>
              </c:pt>
              <c:pt idx="5">
                <c:v>29090</c:v>
              </c:pt>
              <c:pt idx="6">
                <c:v>22990</c:v>
              </c:pt>
              <c:pt idx="7">
                <c:v>39640</c:v>
              </c:pt>
              <c:pt idx="8">
                <c:v>53950</c:v>
              </c:pt>
              <c:pt idx="9">
                <c:v>10060</c:v>
              </c:pt>
              <c:pt idx="10">
                <c:v>77690</c:v>
              </c:pt>
              <c:pt idx="11">
                <c:v>5350</c:v>
              </c:pt>
              <c:pt idx="12">
                <c:v>7417</c:v>
              </c:pt>
              <c:pt idx="13">
                <c:v>2943</c:v>
              </c:pt>
              <c:pt idx="14">
                <c:v>135000</c:v>
              </c:pt>
              <c:pt idx="15">
                <c:v>31680</c:v>
              </c:pt>
              <c:pt idx="16">
                <c:v>15387.5</c:v>
              </c:pt>
              <c:pt idx="17">
                <c:v>14905</c:v>
              </c:pt>
            </c:numLit>
          </c:val>
          <c:extLst>
            <c:ext xmlns:c16="http://schemas.microsoft.com/office/drawing/2014/chart" uri="{C3380CC4-5D6E-409C-BE32-E72D297353CC}">
              <c16:uniqueId val="{00000000-D287-418B-83D5-56F294E6A0CA}"/>
            </c:ext>
          </c:extLst>
        </c:ser>
        <c:dLbls>
          <c:dLblPos val="inEnd"/>
          <c:showLegendKey val="0"/>
          <c:showVal val="1"/>
          <c:showCatName val="0"/>
          <c:showSerName val="0"/>
          <c:showPercent val="0"/>
          <c:showBubbleSize val="0"/>
        </c:dLbls>
        <c:gapWidth val="315"/>
        <c:overlap val="-40"/>
        <c:axId val="1437964223"/>
        <c:axId val="1437967103"/>
      </c:barChart>
      <c:catAx>
        <c:axId val="143796422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37967103"/>
        <c:crosses val="autoZero"/>
        <c:auto val="1"/>
        <c:lblAlgn val="ctr"/>
        <c:lblOffset val="100"/>
        <c:noMultiLvlLbl val="0"/>
      </c:catAx>
      <c:valAx>
        <c:axId val="143796710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37964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region and city wise cost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9142450594123"/>
          <c:y val="0.13834656651182201"/>
          <c:w val="0.72767847769028871"/>
          <c:h val="0.69285542432195979"/>
        </c:manualLayout>
      </c:layout>
      <c:barChart>
        <c:barDir val="col"/>
        <c:grouping val="clustered"/>
        <c:varyColors val="0"/>
        <c:ser>
          <c:idx val="0"/>
          <c:order val="0"/>
          <c:tx>
            <c:v>East</c:v>
          </c:tx>
          <c:spPr>
            <a:solidFill>
              <a:schemeClr val="accent1">
                <a:alpha val="85000"/>
              </a:schemeClr>
            </a:solidFill>
            <a:ln>
              <a:noFill/>
            </a:ln>
            <a:effectLst>
              <a:innerShdw dist="12700" dir="16200000">
                <a:schemeClr val="l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16"/>
              <c:pt idx="0">
                <c:v>Bengaluru</c:v>
              </c:pt>
              <c:pt idx="1">
                <c:v>Bhubaneswar</c:v>
              </c:pt>
              <c:pt idx="2">
                <c:v>Chandigarh</c:v>
              </c:pt>
              <c:pt idx="3">
                <c:v>Chennai</c:v>
              </c:pt>
              <c:pt idx="4">
                <c:v>Delhi</c:v>
              </c:pt>
              <c:pt idx="5">
                <c:v>Guwahati</c:v>
              </c:pt>
              <c:pt idx="6">
                <c:v>Hyderabad</c:v>
              </c:pt>
              <c:pt idx="7">
                <c:v>Jaipur</c:v>
              </c:pt>
              <c:pt idx="8">
                <c:v>Kolkata</c:v>
              </c:pt>
              <c:pt idx="9">
                <c:v>Lucknow</c:v>
              </c:pt>
              <c:pt idx="10">
                <c:v>Mumbai</c:v>
              </c:pt>
              <c:pt idx="11">
                <c:v>Mysuru</c:v>
              </c:pt>
              <c:pt idx="12">
                <c:v>Nagpur</c:v>
              </c:pt>
              <c:pt idx="13">
                <c:v>Nashik</c:v>
              </c:pt>
              <c:pt idx="14">
                <c:v>Patna</c:v>
              </c:pt>
              <c:pt idx="15">
                <c:v>Pune</c:v>
              </c:pt>
            </c:strLit>
          </c:cat>
          <c:val>
            <c:numLit>
              <c:formatCode>General</c:formatCode>
              <c:ptCount val="16"/>
              <c:pt idx="0">
                <c:v>0</c:v>
              </c:pt>
              <c:pt idx="1">
                <c:v>194425</c:v>
              </c:pt>
              <c:pt idx="2">
                <c:v>0</c:v>
              </c:pt>
              <c:pt idx="3">
                <c:v>0</c:v>
              </c:pt>
              <c:pt idx="4">
                <c:v>0</c:v>
              </c:pt>
              <c:pt idx="5">
                <c:v>75385</c:v>
              </c:pt>
              <c:pt idx="6">
                <c:v>0</c:v>
              </c:pt>
              <c:pt idx="7">
                <c:v>0</c:v>
              </c:pt>
              <c:pt idx="8">
                <c:v>296615</c:v>
              </c:pt>
              <c:pt idx="9">
                <c:v>0</c:v>
              </c:pt>
              <c:pt idx="10">
                <c:v>0</c:v>
              </c:pt>
              <c:pt idx="11">
                <c:v>0</c:v>
              </c:pt>
              <c:pt idx="12">
                <c:v>0</c:v>
              </c:pt>
              <c:pt idx="13">
                <c:v>0</c:v>
              </c:pt>
              <c:pt idx="14">
                <c:v>323615</c:v>
              </c:pt>
              <c:pt idx="15">
                <c:v>0</c:v>
              </c:pt>
            </c:numLit>
          </c:val>
          <c:extLst>
            <c:ext xmlns:c16="http://schemas.microsoft.com/office/drawing/2014/chart" uri="{C3380CC4-5D6E-409C-BE32-E72D297353CC}">
              <c16:uniqueId val="{00000000-2581-4CA2-B0FE-851AD14393BE}"/>
            </c:ext>
          </c:extLst>
        </c:ser>
        <c:ser>
          <c:idx val="1"/>
          <c:order val="1"/>
          <c:tx>
            <c:v>North</c:v>
          </c:tx>
          <c:spPr>
            <a:solidFill>
              <a:schemeClr val="accent2">
                <a:alpha val="85000"/>
              </a:schemeClr>
            </a:solidFill>
            <a:ln>
              <a:noFill/>
            </a:ln>
            <a:effectLst>
              <a:innerShdw dist="12700" dir="16200000">
                <a:schemeClr val="l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16"/>
              <c:pt idx="0">
                <c:v>Bengaluru</c:v>
              </c:pt>
              <c:pt idx="1">
                <c:v>Bhubaneswar</c:v>
              </c:pt>
              <c:pt idx="2">
                <c:v>Chandigarh</c:v>
              </c:pt>
              <c:pt idx="3">
                <c:v>Chennai</c:v>
              </c:pt>
              <c:pt idx="4">
                <c:v>Delhi</c:v>
              </c:pt>
              <c:pt idx="5">
                <c:v>Guwahati</c:v>
              </c:pt>
              <c:pt idx="6">
                <c:v>Hyderabad</c:v>
              </c:pt>
              <c:pt idx="7">
                <c:v>Jaipur</c:v>
              </c:pt>
              <c:pt idx="8">
                <c:v>Kolkata</c:v>
              </c:pt>
              <c:pt idx="9">
                <c:v>Lucknow</c:v>
              </c:pt>
              <c:pt idx="10">
                <c:v>Mumbai</c:v>
              </c:pt>
              <c:pt idx="11">
                <c:v>Mysuru</c:v>
              </c:pt>
              <c:pt idx="12">
                <c:v>Nagpur</c:v>
              </c:pt>
              <c:pt idx="13">
                <c:v>Nashik</c:v>
              </c:pt>
              <c:pt idx="14">
                <c:v>Patna</c:v>
              </c:pt>
              <c:pt idx="15">
                <c:v>Pune</c:v>
              </c:pt>
            </c:strLit>
          </c:cat>
          <c:val>
            <c:numLit>
              <c:formatCode>General</c:formatCode>
              <c:ptCount val="16"/>
              <c:pt idx="0">
                <c:v>0</c:v>
              </c:pt>
              <c:pt idx="1">
                <c:v>0</c:v>
              </c:pt>
              <c:pt idx="2">
                <c:v>187590</c:v>
              </c:pt>
              <c:pt idx="3">
                <c:v>0</c:v>
              </c:pt>
              <c:pt idx="4">
                <c:v>206900</c:v>
              </c:pt>
              <c:pt idx="5">
                <c:v>0</c:v>
              </c:pt>
              <c:pt idx="6">
                <c:v>0</c:v>
              </c:pt>
              <c:pt idx="7">
                <c:v>248430</c:v>
              </c:pt>
              <c:pt idx="8">
                <c:v>0</c:v>
              </c:pt>
              <c:pt idx="9">
                <c:v>19340</c:v>
              </c:pt>
              <c:pt idx="10">
                <c:v>0</c:v>
              </c:pt>
              <c:pt idx="11">
                <c:v>0</c:v>
              </c:pt>
              <c:pt idx="12">
                <c:v>0</c:v>
              </c:pt>
              <c:pt idx="13">
                <c:v>0</c:v>
              </c:pt>
              <c:pt idx="14">
                <c:v>0</c:v>
              </c:pt>
              <c:pt idx="15">
                <c:v>0</c:v>
              </c:pt>
            </c:numLit>
          </c:val>
          <c:extLst>
            <c:ext xmlns:c16="http://schemas.microsoft.com/office/drawing/2014/chart" uri="{C3380CC4-5D6E-409C-BE32-E72D297353CC}">
              <c16:uniqueId val="{00000001-2581-4CA2-B0FE-851AD14393BE}"/>
            </c:ext>
          </c:extLst>
        </c:ser>
        <c:ser>
          <c:idx val="2"/>
          <c:order val="2"/>
          <c:tx>
            <c:v>South</c:v>
          </c:tx>
          <c:spPr>
            <a:solidFill>
              <a:schemeClr val="accent3">
                <a:alpha val="85000"/>
              </a:schemeClr>
            </a:solidFill>
            <a:ln>
              <a:noFill/>
            </a:ln>
            <a:effectLst>
              <a:innerShdw dist="12700" dir="16200000">
                <a:schemeClr val="l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16"/>
              <c:pt idx="0">
                <c:v>Bengaluru</c:v>
              </c:pt>
              <c:pt idx="1">
                <c:v>Bhubaneswar</c:v>
              </c:pt>
              <c:pt idx="2">
                <c:v>Chandigarh</c:v>
              </c:pt>
              <c:pt idx="3">
                <c:v>Chennai</c:v>
              </c:pt>
              <c:pt idx="4">
                <c:v>Delhi</c:v>
              </c:pt>
              <c:pt idx="5">
                <c:v>Guwahati</c:v>
              </c:pt>
              <c:pt idx="6">
                <c:v>Hyderabad</c:v>
              </c:pt>
              <c:pt idx="7">
                <c:v>Jaipur</c:v>
              </c:pt>
              <c:pt idx="8">
                <c:v>Kolkata</c:v>
              </c:pt>
              <c:pt idx="9">
                <c:v>Lucknow</c:v>
              </c:pt>
              <c:pt idx="10">
                <c:v>Mumbai</c:v>
              </c:pt>
              <c:pt idx="11">
                <c:v>Mysuru</c:v>
              </c:pt>
              <c:pt idx="12">
                <c:v>Nagpur</c:v>
              </c:pt>
              <c:pt idx="13">
                <c:v>Nashik</c:v>
              </c:pt>
              <c:pt idx="14">
                <c:v>Patna</c:v>
              </c:pt>
              <c:pt idx="15">
                <c:v>Pune</c:v>
              </c:pt>
            </c:strLit>
          </c:cat>
          <c:val>
            <c:numLit>
              <c:formatCode>General</c:formatCode>
              <c:ptCount val="16"/>
              <c:pt idx="0">
                <c:v>150820</c:v>
              </c:pt>
              <c:pt idx="1">
                <c:v>0</c:v>
              </c:pt>
              <c:pt idx="2">
                <c:v>0</c:v>
              </c:pt>
              <c:pt idx="3">
                <c:v>87780</c:v>
              </c:pt>
              <c:pt idx="4">
                <c:v>0</c:v>
              </c:pt>
              <c:pt idx="5">
                <c:v>0</c:v>
              </c:pt>
              <c:pt idx="6">
                <c:v>84080</c:v>
              </c:pt>
              <c:pt idx="7">
                <c:v>0</c:v>
              </c:pt>
              <c:pt idx="8">
                <c:v>0</c:v>
              </c:pt>
              <c:pt idx="9">
                <c:v>0</c:v>
              </c:pt>
              <c:pt idx="10">
                <c:v>0</c:v>
              </c:pt>
              <c:pt idx="11">
                <c:v>267610</c:v>
              </c:pt>
              <c:pt idx="12">
                <c:v>0</c:v>
              </c:pt>
              <c:pt idx="13">
                <c:v>0</c:v>
              </c:pt>
              <c:pt idx="14">
                <c:v>0</c:v>
              </c:pt>
              <c:pt idx="15">
                <c:v>0</c:v>
              </c:pt>
            </c:numLit>
          </c:val>
          <c:extLst>
            <c:ext xmlns:c16="http://schemas.microsoft.com/office/drawing/2014/chart" uri="{C3380CC4-5D6E-409C-BE32-E72D297353CC}">
              <c16:uniqueId val="{00000002-2581-4CA2-B0FE-851AD14393BE}"/>
            </c:ext>
          </c:extLst>
        </c:ser>
        <c:ser>
          <c:idx val="3"/>
          <c:order val="3"/>
          <c:tx>
            <c:v>West</c:v>
          </c:tx>
          <c:spPr>
            <a:solidFill>
              <a:schemeClr val="accent4">
                <a:alpha val="85000"/>
              </a:schemeClr>
            </a:solidFill>
            <a:ln>
              <a:noFill/>
            </a:ln>
            <a:effectLst>
              <a:innerShdw dist="12700" dir="16200000">
                <a:schemeClr val="l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16"/>
              <c:pt idx="0">
                <c:v>Bengaluru</c:v>
              </c:pt>
              <c:pt idx="1">
                <c:v>Bhubaneswar</c:v>
              </c:pt>
              <c:pt idx="2">
                <c:v>Chandigarh</c:v>
              </c:pt>
              <c:pt idx="3">
                <c:v>Chennai</c:v>
              </c:pt>
              <c:pt idx="4">
                <c:v>Delhi</c:v>
              </c:pt>
              <c:pt idx="5">
                <c:v>Guwahati</c:v>
              </c:pt>
              <c:pt idx="6">
                <c:v>Hyderabad</c:v>
              </c:pt>
              <c:pt idx="7">
                <c:v>Jaipur</c:v>
              </c:pt>
              <c:pt idx="8">
                <c:v>Kolkata</c:v>
              </c:pt>
              <c:pt idx="9">
                <c:v>Lucknow</c:v>
              </c:pt>
              <c:pt idx="10">
                <c:v>Mumbai</c:v>
              </c:pt>
              <c:pt idx="11">
                <c:v>Mysuru</c:v>
              </c:pt>
              <c:pt idx="12">
                <c:v>Nagpur</c:v>
              </c:pt>
              <c:pt idx="13">
                <c:v>Nashik</c:v>
              </c:pt>
              <c:pt idx="14">
                <c:v>Patna</c:v>
              </c:pt>
              <c:pt idx="15">
                <c:v>Pune</c:v>
              </c:pt>
            </c:strLit>
          </c:cat>
          <c:val>
            <c:numLit>
              <c:formatCode>General</c:formatCode>
              <c:ptCount val="16"/>
              <c:pt idx="0">
                <c:v>0</c:v>
              </c:pt>
              <c:pt idx="1">
                <c:v>0</c:v>
              </c:pt>
              <c:pt idx="2">
                <c:v>0</c:v>
              </c:pt>
              <c:pt idx="3">
                <c:v>0</c:v>
              </c:pt>
              <c:pt idx="4">
                <c:v>0</c:v>
              </c:pt>
              <c:pt idx="5">
                <c:v>0</c:v>
              </c:pt>
              <c:pt idx="6">
                <c:v>0</c:v>
              </c:pt>
              <c:pt idx="7">
                <c:v>0</c:v>
              </c:pt>
              <c:pt idx="8">
                <c:v>0</c:v>
              </c:pt>
              <c:pt idx="9">
                <c:v>0</c:v>
              </c:pt>
              <c:pt idx="10">
                <c:v>132885</c:v>
              </c:pt>
              <c:pt idx="11">
                <c:v>0</c:v>
              </c:pt>
              <c:pt idx="12">
                <c:v>39115</c:v>
              </c:pt>
              <c:pt idx="13">
                <c:v>101910</c:v>
              </c:pt>
              <c:pt idx="14">
                <c:v>0</c:v>
              </c:pt>
              <c:pt idx="15">
                <c:v>157040</c:v>
              </c:pt>
            </c:numLit>
          </c:val>
          <c:extLst>
            <c:ext xmlns:c16="http://schemas.microsoft.com/office/drawing/2014/chart" uri="{C3380CC4-5D6E-409C-BE32-E72D297353CC}">
              <c16:uniqueId val="{00000003-2581-4CA2-B0FE-851AD14393BE}"/>
            </c:ext>
          </c:extLst>
        </c:ser>
        <c:dLbls>
          <c:showLegendKey val="0"/>
          <c:showVal val="0"/>
          <c:showCatName val="0"/>
          <c:showSerName val="0"/>
          <c:showPercent val="0"/>
          <c:showBubbleSize val="0"/>
        </c:dLbls>
        <c:gapWidth val="150"/>
        <c:axId val="1810958095"/>
        <c:axId val="1810955695"/>
      </c:barChart>
      <c:catAx>
        <c:axId val="181095809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cities</a:t>
                </a:r>
              </a:p>
            </c:rich>
          </c:tx>
          <c:layout>
            <c:manualLayout>
              <c:xMode val="edge"/>
              <c:yMode val="edge"/>
              <c:x val="0.48570901410716383"/>
              <c:y val="0.93713112312794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10955695"/>
        <c:crosses val="autoZero"/>
        <c:auto val="1"/>
        <c:lblAlgn val="ctr"/>
        <c:lblOffset val="100"/>
        <c:noMultiLvlLbl val="0"/>
      </c:catAx>
      <c:valAx>
        <c:axId val="181095569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cost</a:t>
                </a:r>
              </a:p>
            </c:rich>
          </c:tx>
          <c:layout>
            <c:manualLayout>
              <c:xMode val="edge"/>
              <c:yMode val="edge"/>
              <c:x val="5.8418996587052512E-2"/>
              <c:y val="0.4595831645484596"/>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10958095"/>
        <c:crosses val="autoZero"/>
        <c:crossBetween val="between"/>
      </c:valAx>
      <c:spPr>
        <a:noFill/>
        <a:ln>
          <a:noFill/>
        </a:ln>
        <a:effectLst/>
      </c:spPr>
    </c:plotArea>
    <c:legend>
      <c:legendPos val="r"/>
      <c:layout>
        <c:manualLayout>
          <c:xMode val="edge"/>
          <c:yMode val="edge"/>
          <c:x val="0.95672062682558179"/>
          <c:y val="0.3742228291474371"/>
          <c:w val="3.6688553997413019E-2"/>
          <c:h val="0.1562274874986992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project.xlsx]pivot tables and slicers !PivotTable13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a:t>
            </a:r>
            <a:r>
              <a:rPr lang="en-US" baseline="0"/>
              <a:t> and category wise profit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slicers '!$B$84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tables and slicers '!$A$85:$A$106</c:f>
              <c:multiLvlStrCache>
                <c:ptCount val="18"/>
                <c:lvl>
                  <c:pt idx="0">
                    <c:v>Bookshelf</c:v>
                  </c:pt>
                  <c:pt idx="1">
                    <c:v>Filing Cabinet</c:v>
                  </c:pt>
                  <c:pt idx="2">
                    <c:v>Footrest</c:v>
                  </c:pt>
                  <c:pt idx="3">
                    <c:v>Office Chair</c:v>
                  </c:pt>
                  <c:pt idx="4">
                    <c:v>Study Desk</c:v>
                  </c:pt>
                  <c:pt idx="5">
                    <c:v>Table Lamp</c:v>
                  </c:pt>
                  <c:pt idx="6">
                    <c:v>Desk Organizer</c:v>
                  </c:pt>
                  <c:pt idx="7">
                    <c:v>File Folder</c:v>
                  </c:pt>
                  <c:pt idx="8">
                    <c:v>Notebook Pack</c:v>
                  </c:pt>
                  <c:pt idx="9">
                    <c:v>Pens Pack</c:v>
                  </c:pt>
                  <c:pt idx="10">
                    <c:v>Printer Paper</c:v>
                  </c:pt>
                  <c:pt idx="11">
                    <c:v>Stapler</c:v>
                  </c:pt>
                  <c:pt idx="12">
                    <c:v>Headphones</c:v>
                  </c:pt>
                  <c:pt idx="13">
                    <c:v>Keyboard</c:v>
                  </c:pt>
                  <c:pt idx="14">
                    <c:v>Laptop Stand</c:v>
                  </c:pt>
                  <c:pt idx="15">
                    <c:v>Monitor</c:v>
                  </c:pt>
                  <c:pt idx="16">
                    <c:v>USB Drive</c:v>
                  </c:pt>
                  <c:pt idx="17">
                    <c:v>Wireless Mouse</c:v>
                  </c:pt>
                </c:lvl>
                <c:lvl>
                  <c:pt idx="0">
                    <c:v>Furniture</c:v>
                  </c:pt>
                  <c:pt idx="6">
                    <c:v>Office Supplies</c:v>
                  </c:pt>
                  <c:pt idx="12">
                    <c:v>Technology</c:v>
                  </c:pt>
                </c:lvl>
              </c:multiLvlStrCache>
            </c:multiLvlStrRef>
          </c:cat>
          <c:val>
            <c:numRef>
              <c:f>'pivot tables and slicers '!$B$85:$B$106</c:f>
              <c:numCache>
                <c:formatCode>"₹"#,##0.00</c:formatCode>
                <c:ptCount val="18"/>
                <c:pt idx="0">
                  <c:v>99630</c:v>
                </c:pt>
                <c:pt idx="1">
                  <c:v>150360</c:v>
                </c:pt>
                <c:pt idx="2">
                  <c:v>58410</c:v>
                </c:pt>
                <c:pt idx="3">
                  <c:v>77690</c:v>
                </c:pt>
                <c:pt idx="4">
                  <c:v>135000</c:v>
                </c:pt>
                <c:pt idx="5">
                  <c:v>31680</c:v>
                </c:pt>
                <c:pt idx="6">
                  <c:v>13350</c:v>
                </c:pt>
                <c:pt idx="7">
                  <c:v>5653.5</c:v>
                </c:pt>
                <c:pt idx="8">
                  <c:v>10060</c:v>
                </c:pt>
                <c:pt idx="9">
                  <c:v>5350</c:v>
                </c:pt>
                <c:pt idx="10">
                  <c:v>7417</c:v>
                </c:pt>
                <c:pt idx="11">
                  <c:v>2943</c:v>
                </c:pt>
                <c:pt idx="12">
                  <c:v>29090</c:v>
                </c:pt>
                <c:pt idx="13">
                  <c:v>22990</c:v>
                </c:pt>
                <c:pt idx="14">
                  <c:v>39640</c:v>
                </c:pt>
                <c:pt idx="15">
                  <c:v>53950</c:v>
                </c:pt>
                <c:pt idx="16">
                  <c:v>15387.5</c:v>
                </c:pt>
                <c:pt idx="17">
                  <c:v>14905</c:v>
                </c:pt>
              </c:numCache>
            </c:numRef>
          </c:val>
          <c:extLst>
            <c:ext xmlns:c16="http://schemas.microsoft.com/office/drawing/2014/chart" uri="{C3380CC4-5D6E-409C-BE32-E72D297353CC}">
              <c16:uniqueId val="{00000000-3E68-435C-8681-614AF4F4D364}"/>
            </c:ext>
          </c:extLst>
        </c:ser>
        <c:dLbls>
          <c:dLblPos val="outEnd"/>
          <c:showLegendKey val="0"/>
          <c:showVal val="1"/>
          <c:showCatName val="0"/>
          <c:showSerName val="0"/>
          <c:showPercent val="0"/>
          <c:showBubbleSize val="0"/>
        </c:dLbls>
        <c:gapWidth val="100"/>
        <c:overlap val="-24"/>
        <c:axId val="1567015215"/>
        <c:axId val="1567015695"/>
      </c:barChart>
      <c:catAx>
        <c:axId val="15670152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7015695"/>
        <c:crosses val="autoZero"/>
        <c:auto val="1"/>
        <c:lblAlgn val="ctr"/>
        <c:lblOffset val="100"/>
        <c:noMultiLvlLbl val="0"/>
      </c:catAx>
      <c:valAx>
        <c:axId val="1567015695"/>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701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 wise cost</a:t>
            </a:r>
          </a:p>
        </c:rich>
      </c:tx>
      <c:layout>
        <c:manualLayout>
          <c:xMode val="edge"/>
          <c:yMode val="edge"/>
          <c:x val="0.30882244264921421"/>
          <c:y val="7.650555015635640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3794607492245287"/>
          <c:y val="0.17717738683168383"/>
          <c:w val="0.4051868970924089"/>
          <c:h val="0.78587886841600718"/>
        </c:manualLayout>
      </c:layout>
      <c:pieChart>
        <c:varyColors val="1"/>
        <c:ser>
          <c:idx val="0"/>
          <c:order val="0"/>
          <c:tx>
            <c:v>Total</c:v>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DA8-4959-9D7E-30F76DD851E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DA8-4959-9D7E-30F76DD851E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DA8-4959-9D7E-30F76DD851E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3"/>
              <c:pt idx="0">
                <c:v>Furniture</c:v>
              </c:pt>
              <c:pt idx="1">
                <c:v>Office Supplies</c:v>
              </c:pt>
              <c:pt idx="2">
                <c:v>Technology</c:v>
              </c:pt>
            </c:strLit>
          </c:cat>
          <c:val>
            <c:numLit>
              <c:formatCode>General</c:formatCode>
              <c:ptCount val="3"/>
              <c:pt idx="0">
                <c:v>1919930</c:v>
              </c:pt>
              <c:pt idx="1">
                <c:v>66020</c:v>
              </c:pt>
              <c:pt idx="2">
                <c:v>587590</c:v>
              </c:pt>
            </c:numLit>
          </c:val>
          <c:extLst>
            <c:ext xmlns:c16="http://schemas.microsoft.com/office/drawing/2014/chart" uri="{C3380CC4-5D6E-409C-BE32-E72D297353CC}">
              <c16:uniqueId val="{00000006-DDA8-4959-9D7E-30F76DD851EA}"/>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5640372226198993"/>
          <c:y val="0.45566684517080208"/>
          <c:w val="0.23320666734839962"/>
          <c:h val="0.2389752540378296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428625</xdr:colOff>
      <xdr:row>84</xdr:row>
      <xdr:rowOff>104774</xdr:rowOff>
    </xdr:from>
    <xdr:to>
      <xdr:col>16</xdr:col>
      <xdr:colOff>333375</xdr:colOff>
      <xdr:row>114</xdr:row>
      <xdr:rowOff>28575</xdr:rowOff>
    </xdr:to>
    <xdr:graphicFrame macro="">
      <xdr:nvGraphicFramePr>
        <xdr:cNvPr id="9" name="Chart 8">
          <a:extLst>
            <a:ext uri="{FF2B5EF4-FFF2-40B4-BE49-F238E27FC236}">
              <a16:creationId xmlns:a16="http://schemas.microsoft.com/office/drawing/2014/main" id="{0405C560-6F4E-F0CA-801F-11F463720F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161925</xdr:colOff>
      <xdr:row>22</xdr:row>
      <xdr:rowOff>152400</xdr:rowOff>
    </xdr:from>
    <xdr:to>
      <xdr:col>6</xdr:col>
      <xdr:colOff>685800</xdr:colOff>
      <xdr:row>36</xdr:row>
      <xdr:rowOff>9525</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B844C923-2B44-630A-949E-FF46E40EE42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791200" y="4343400"/>
              <a:ext cx="131445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304800</xdr:colOff>
      <xdr:row>1</xdr:row>
      <xdr:rowOff>161924</xdr:rowOff>
    </xdr:from>
    <xdr:to>
      <xdr:col>15</xdr:col>
      <xdr:colOff>19050</xdr:colOff>
      <xdr:row>31</xdr:row>
      <xdr:rowOff>0</xdr:rowOff>
    </xdr:to>
    <mc:AlternateContent xmlns:mc="http://schemas.openxmlformats.org/markup-compatibility/2006" xmlns:a14="http://schemas.microsoft.com/office/drawing/2010/main">
      <mc:Choice Requires="a14">
        <xdr:graphicFrame macro="">
          <xdr:nvGraphicFramePr>
            <xdr:cNvPr id="11" name="Product 1">
              <a:extLst>
                <a:ext uri="{FF2B5EF4-FFF2-40B4-BE49-F238E27FC236}">
                  <a16:creationId xmlns:a16="http://schemas.microsoft.com/office/drawing/2014/main" id="{A5AC7859-FE54-47C3-34DE-A7042FEAD77C}"/>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3134975" y="352424"/>
              <a:ext cx="1828800" cy="55530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247650</xdr:colOff>
      <xdr:row>1</xdr:row>
      <xdr:rowOff>171451</xdr:rowOff>
    </xdr:from>
    <xdr:to>
      <xdr:col>17</xdr:col>
      <xdr:colOff>552450</xdr:colOff>
      <xdr:row>27</xdr:row>
      <xdr:rowOff>95251</xdr:rowOff>
    </xdr:to>
    <mc:AlternateContent xmlns:mc="http://schemas.openxmlformats.org/markup-compatibility/2006" xmlns:a14="http://schemas.microsoft.com/office/drawing/2010/main">
      <mc:Choice Requires="a14">
        <xdr:graphicFrame macro="">
          <xdr:nvGraphicFramePr>
            <xdr:cNvPr id="12" name="City">
              <a:extLst>
                <a:ext uri="{FF2B5EF4-FFF2-40B4-BE49-F238E27FC236}">
                  <a16:creationId xmlns:a16="http://schemas.microsoft.com/office/drawing/2014/main" id="{BEAEEDB6-922C-D0D3-136B-AAE4C3103D0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5192375" y="361951"/>
              <a:ext cx="1828800" cy="487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314325</xdr:colOff>
      <xdr:row>22</xdr:row>
      <xdr:rowOff>152400</xdr:rowOff>
    </xdr:from>
    <xdr:to>
      <xdr:col>9</xdr:col>
      <xdr:colOff>495300</xdr:colOff>
      <xdr:row>36</xdr:row>
      <xdr:rowOff>9525</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2055C327-A7D2-BAD3-A993-0F8E7996FF7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524750" y="4343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238125</xdr:colOff>
      <xdr:row>1</xdr:row>
      <xdr:rowOff>51766</xdr:rowOff>
    </xdr:from>
    <xdr:to>
      <xdr:col>8</xdr:col>
      <xdr:colOff>361950</xdr:colOff>
      <xdr:row>23</xdr:row>
      <xdr:rowOff>85105</xdr:rowOff>
    </xdr:to>
    <xdr:graphicFrame macro="">
      <xdr:nvGraphicFramePr>
        <xdr:cNvPr id="2" name="Chart 1">
          <a:extLst>
            <a:ext uri="{FF2B5EF4-FFF2-40B4-BE49-F238E27FC236}">
              <a16:creationId xmlns:a16="http://schemas.microsoft.com/office/drawing/2014/main" id="{6F695E4C-47F1-4152-A75F-7FB9CFB318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xdr:row>
      <xdr:rowOff>0</xdr:rowOff>
    </xdr:from>
    <xdr:to>
      <xdr:col>17</xdr:col>
      <xdr:colOff>485775</xdr:colOff>
      <xdr:row>23</xdr:row>
      <xdr:rowOff>66676</xdr:rowOff>
    </xdr:to>
    <xdr:graphicFrame macro="">
      <xdr:nvGraphicFramePr>
        <xdr:cNvPr id="3" name="Chart 2">
          <a:extLst>
            <a:ext uri="{FF2B5EF4-FFF2-40B4-BE49-F238E27FC236}">
              <a16:creationId xmlns:a16="http://schemas.microsoft.com/office/drawing/2014/main" id="{66BD3287-C62C-4F86-B549-3381F957B6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155298</xdr:colOff>
      <xdr:row>24</xdr:row>
      <xdr:rowOff>134592</xdr:rowOff>
    </xdr:from>
    <xdr:to>
      <xdr:col>15</xdr:col>
      <xdr:colOff>196710</xdr:colOff>
      <xdr:row>54</xdr:row>
      <xdr:rowOff>31060</xdr:rowOff>
    </xdr:to>
    <xdr:graphicFrame macro="">
      <xdr:nvGraphicFramePr>
        <xdr:cNvPr id="4" name="Chart 3">
          <a:extLst>
            <a:ext uri="{FF2B5EF4-FFF2-40B4-BE49-F238E27FC236}">
              <a16:creationId xmlns:a16="http://schemas.microsoft.com/office/drawing/2014/main" id="{743486FD-4436-499D-8DF7-159FF34179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67348</xdr:colOff>
      <xdr:row>1</xdr:row>
      <xdr:rowOff>96213</xdr:rowOff>
    </xdr:from>
    <xdr:to>
      <xdr:col>19</xdr:col>
      <xdr:colOff>4136</xdr:colOff>
      <xdr:row>28</xdr:row>
      <xdr:rowOff>37139</xdr:rowOff>
    </xdr:to>
    <xdr:graphicFrame macro="">
      <xdr:nvGraphicFramePr>
        <xdr:cNvPr id="2" name="Chart 1">
          <a:extLst>
            <a:ext uri="{FF2B5EF4-FFF2-40B4-BE49-F238E27FC236}">
              <a16:creationId xmlns:a16="http://schemas.microsoft.com/office/drawing/2014/main" id="{FEA0E0D4-B200-4B13-A028-95F4F72DFE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346364</xdr:colOff>
      <xdr:row>29</xdr:row>
      <xdr:rowOff>86590</xdr:rowOff>
    </xdr:from>
    <xdr:to>
      <xdr:col>16</xdr:col>
      <xdr:colOff>339394</xdr:colOff>
      <xdr:row>49</xdr:row>
      <xdr:rowOff>56091</xdr:rowOff>
    </xdr:to>
    <xdr:graphicFrame macro="">
      <xdr:nvGraphicFramePr>
        <xdr:cNvPr id="4" name="Chart 3">
          <a:extLst>
            <a:ext uri="{FF2B5EF4-FFF2-40B4-BE49-F238E27FC236}">
              <a16:creationId xmlns:a16="http://schemas.microsoft.com/office/drawing/2014/main" id="{647F70B2-D5AC-4B02-B984-EB49890F95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urishree Midina" refreshedDate="46316.996470254628" createdVersion="8" refreshedVersion="8" minRefreshableVersion="3" recordCount="250" xr:uid="{1106AE1D-0A6B-49F8-87BD-74F3D96ACE20}">
  <cacheSource type="worksheet">
    <worksheetSource name="Table2"/>
  </cacheSource>
  <cacheFields count="18">
    <cacheField name="OrderID" numFmtId="0">
      <sharedItems/>
    </cacheField>
    <cacheField name="OrderDate" numFmtId="165">
      <sharedItems containsSemiMixedTypes="0" containsNonDate="0" containsDate="1" containsString="0" minDate="2025-01-02T00:00:00" maxDate="2025-12-30T00:00:00"/>
    </cacheField>
    <cacheField name="Region" numFmtId="0">
      <sharedItems count="4">
        <s v="West"/>
        <s v="East"/>
        <s v="South"/>
        <s v="North"/>
      </sharedItems>
    </cacheField>
    <cacheField name="City" numFmtId="0">
      <sharedItems count="16">
        <s v="Mumbai"/>
        <s v="Kolkata"/>
        <s v="Mysuru"/>
        <s v="Jaipur"/>
        <s v="Delhi"/>
        <s v="Patna"/>
        <s v="Pune"/>
        <s v="Bhubaneswar"/>
        <s v="Bengaluru"/>
        <s v="Guwahati"/>
        <s v="Chandigarh"/>
        <s v="Hyderabad"/>
        <s v="Nagpur"/>
        <s v="Chennai"/>
        <s v="Nashik"/>
        <s v="Lucknow"/>
      </sharedItems>
    </cacheField>
    <cacheField name="Category" numFmtId="0">
      <sharedItems count="3">
        <s v="Furniture"/>
        <s v="Technology"/>
        <s v="Office Supplies"/>
      </sharedItems>
    </cacheField>
    <cacheField name="Product" numFmtId="0">
      <sharedItems count="18">
        <s v="Bookshelf"/>
        <s v="Wireless Mouse"/>
        <s v="USB Drive"/>
        <s v="Headphones"/>
        <s v="Table Lamp"/>
        <s v="Office Chair"/>
        <s v="File Folder"/>
        <s v="Filing Cabinet"/>
        <s v="Pens Pack"/>
        <s v="Keyboard"/>
        <s v="Footrest"/>
        <s v="Desk Organizer"/>
        <s v="Study Desk"/>
        <s v="Laptop Stand"/>
        <s v="Notebook Pack"/>
        <s v="Monitor"/>
        <s v="Printer Paper"/>
        <s v="Stapler"/>
      </sharedItems>
    </cacheField>
    <cacheField name="Quantity" numFmtId="0">
      <sharedItems containsSemiMixedTypes="0" containsString="0" containsNumber="1" containsInteger="1" minValue="1" maxValue="12"/>
    </cacheField>
    <cacheField name="UnitPrice_INR" numFmtId="164">
      <sharedItems containsSemiMixedTypes="0" containsString="0" containsNumber="1" containsInteger="1" minValue="90" maxValue="9500"/>
    </cacheField>
    <cacheField name="DiscountPct" numFmtId="9">
      <sharedItems containsSemiMixedTypes="0" containsString="0" containsNumber="1" minValue="0" maxValue="0.2"/>
    </cacheField>
    <cacheField name="Sales_INR" numFmtId="164">
      <sharedItems containsSemiMixedTypes="0" containsString="0" containsNumber="1" minValue="108" maxValue="104500"/>
    </cacheField>
    <cacheField name="Cost_INR" numFmtId="164">
      <sharedItems containsSemiMixedTypes="0" containsString="0" containsNumber="1" containsInteger="1" minValue="55" maxValue="79200"/>
    </cacheField>
    <cacheField name="Profit_INR" numFmtId="164">
      <sharedItems containsSemiMixedTypes="0" containsString="0" containsNumber="1" minValue="53" maxValue="25300"/>
    </cacheField>
    <cacheField name="PaymentMethod" numFmtId="0">
      <sharedItems count="5">
        <s v="UPI"/>
        <s v="Net Banking"/>
        <s v="Credit Card"/>
        <s v="Debit Card"/>
        <s v="Cash"/>
      </sharedItems>
    </cacheField>
    <cacheField name="Salesperson" numFmtId="0">
      <sharedItems/>
    </cacheField>
    <cacheField name="CustomerType" numFmtId="0">
      <sharedItems/>
    </cacheField>
    <cacheField name="profit margin" numFmtId="0">
      <sharedItems containsSemiMixedTypes="0" containsString="0" containsNumber="1" minValue="5.2631578947368418E-2" maxValue="0.55555555555555558"/>
    </cacheField>
    <cacheField name="profit status" numFmtId="0">
      <sharedItems/>
    </cacheField>
    <cacheField name="impact" numFmtId="0">
      <sharedItems/>
    </cacheField>
  </cacheFields>
  <extLst>
    <ext xmlns:x14="http://schemas.microsoft.com/office/spreadsheetml/2009/9/main" uri="{725AE2AE-9491-48be-B2B4-4EB974FC3084}">
      <x14:pivotCacheDefinition pivotCacheId="117586375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urishree Midina" refreshedDate="46317.038966087966" createdVersion="8" refreshedVersion="8" minRefreshableVersion="3" recordCount="250" xr:uid="{192E3078-B7D8-4D9B-AD96-580C9FB39EA7}">
  <cacheSource type="worksheet">
    <worksheetSource name="Table2[[City]:[impact]]"/>
  </cacheSource>
  <cacheFields count="15">
    <cacheField name="City" numFmtId="0">
      <sharedItems/>
    </cacheField>
    <cacheField name="Category" numFmtId="0">
      <sharedItems count="3">
        <s v="Furniture"/>
        <s v="Technology"/>
        <s v="Office Supplies"/>
      </sharedItems>
    </cacheField>
    <cacheField name="Product" numFmtId="0">
      <sharedItems count="18">
        <s v="Bookshelf"/>
        <s v="Wireless Mouse"/>
        <s v="USB Drive"/>
        <s v="Headphones"/>
        <s v="Table Lamp"/>
        <s v="Office Chair"/>
        <s v="File Folder"/>
        <s v="Filing Cabinet"/>
        <s v="Pens Pack"/>
        <s v="Keyboard"/>
        <s v="Footrest"/>
        <s v="Desk Organizer"/>
        <s v="Study Desk"/>
        <s v="Laptop Stand"/>
        <s v="Notebook Pack"/>
        <s v="Monitor"/>
        <s v="Printer Paper"/>
        <s v="Stapler"/>
      </sharedItems>
    </cacheField>
    <cacheField name="Quantity" numFmtId="0">
      <sharedItems containsSemiMixedTypes="0" containsString="0" containsNumber="1" containsInteger="1" minValue="1" maxValue="12"/>
    </cacheField>
    <cacheField name="UnitPrice_INR" numFmtId="164">
      <sharedItems containsSemiMixedTypes="0" containsString="0" containsNumber="1" containsInteger="1" minValue="90" maxValue="9500"/>
    </cacheField>
    <cacheField name="DiscountPct" numFmtId="9">
      <sharedItems containsSemiMixedTypes="0" containsString="0" containsNumber="1" minValue="0" maxValue="0.2"/>
    </cacheField>
    <cacheField name="Sales_INR" numFmtId="164">
      <sharedItems containsSemiMixedTypes="0" containsString="0" containsNumber="1" minValue="108" maxValue="104500"/>
    </cacheField>
    <cacheField name="Cost_INR" numFmtId="164">
      <sharedItems containsSemiMixedTypes="0" containsString="0" containsNumber="1" containsInteger="1" minValue="55" maxValue="79200"/>
    </cacheField>
    <cacheField name="Profit_INR" numFmtId="164">
      <sharedItems containsSemiMixedTypes="0" containsString="0" containsNumber="1" minValue="53" maxValue="25300"/>
    </cacheField>
    <cacheField name="PaymentMethod" numFmtId="0">
      <sharedItems/>
    </cacheField>
    <cacheField name="Salesperson" numFmtId="0">
      <sharedItems/>
    </cacheField>
    <cacheField name="CustomerType" numFmtId="0">
      <sharedItems/>
    </cacheField>
    <cacheField name="profit margin" numFmtId="0">
      <sharedItems containsSemiMixedTypes="0" containsString="0" containsNumber="1" minValue="5.2631578947368418E-2" maxValue="0.55555555555555558"/>
    </cacheField>
    <cacheField name="profit status" numFmtId="0">
      <sharedItems/>
    </cacheField>
    <cacheField name="impact"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ORD0001"/>
    <d v="2025-03-13T00:00:00"/>
    <x v="0"/>
    <x v="0"/>
    <x v="0"/>
    <x v="0"/>
    <n v="4"/>
    <n v="5400"/>
    <n v="0.05"/>
    <n v="20520"/>
    <n v="14400"/>
    <n v="6120"/>
    <x v="0"/>
    <s v="Diya"/>
    <s v="Corporate"/>
    <n v="0.2982456140350877"/>
    <s v="Good Profit"/>
    <s v="High Value"/>
  </r>
  <r>
    <s v="ORD0002"/>
    <d v="2025-09-16T00:00:00"/>
    <x v="1"/>
    <x v="1"/>
    <x v="1"/>
    <x v="1"/>
    <n v="4"/>
    <n v="650"/>
    <n v="0.05"/>
    <n v="2470"/>
    <n v="1520"/>
    <n v="950"/>
    <x v="1"/>
    <s v="Aarav"/>
    <s v="Corporate"/>
    <n v="0.38461538461538464"/>
    <s v="Good Profit"/>
    <s v="Normal"/>
  </r>
  <r>
    <s v="ORD0003"/>
    <d v="2025-01-04T00:00:00"/>
    <x v="2"/>
    <x v="2"/>
    <x v="1"/>
    <x v="2"/>
    <n v="10"/>
    <n v="550"/>
    <n v="0.1"/>
    <n v="4950"/>
    <n v="3000"/>
    <n v="1950"/>
    <x v="2"/>
    <s v="Rohan"/>
    <s v="Returning"/>
    <n v="0.39393939393939392"/>
    <s v="Good Profit"/>
    <s v="Normal"/>
  </r>
  <r>
    <s v="ORD0004"/>
    <d v="2025-07-14T00:00:00"/>
    <x v="3"/>
    <x v="3"/>
    <x v="1"/>
    <x v="3"/>
    <n v="2"/>
    <n v="1800"/>
    <n v="0"/>
    <n v="3600"/>
    <n v="2300"/>
    <n v="1300"/>
    <x v="0"/>
    <s v="Ananya"/>
    <s v="Returning"/>
    <n v="0.3611111111111111"/>
    <s v="Good Profit"/>
    <s v="Normal"/>
  </r>
  <r>
    <s v="ORD0005"/>
    <d v="2025-07-13T00:00:00"/>
    <x v="3"/>
    <x v="4"/>
    <x v="0"/>
    <x v="4"/>
    <n v="9"/>
    <n v="950"/>
    <n v="0"/>
    <n v="8550"/>
    <n v="4680"/>
    <n v="3870"/>
    <x v="0"/>
    <s v="Kabir"/>
    <s v="Corporate"/>
    <n v="0.45263157894736844"/>
    <s v="Good Profit"/>
    <s v="High Value"/>
  </r>
  <r>
    <s v="ORD0006"/>
    <d v="2025-05-29T00:00:00"/>
    <x v="3"/>
    <x v="3"/>
    <x v="0"/>
    <x v="5"/>
    <n v="1"/>
    <n v="6200"/>
    <n v="0.05"/>
    <n v="5890"/>
    <n v="4300"/>
    <n v="1590"/>
    <x v="0"/>
    <s v="Meera"/>
    <s v="New"/>
    <n v="0.2699490662139219"/>
    <s v="Good Profit"/>
    <s v="High Value"/>
  </r>
  <r>
    <s v="ORD0007"/>
    <d v="2025-07-09T00:00:00"/>
    <x v="1"/>
    <x v="5"/>
    <x v="2"/>
    <x v="6"/>
    <n v="6"/>
    <n v="90"/>
    <n v="0.05"/>
    <n v="513"/>
    <n v="240"/>
    <n v="273"/>
    <x v="3"/>
    <s v="Meera"/>
    <s v="Corporate"/>
    <n v="0.53216374269005851"/>
    <s v="Low Profit"/>
    <s v="Normal"/>
  </r>
  <r>
    <s v="ORD0008"/>
    <d v="2025-05-06T00:00:00"/>
    <x v="3"/>
    <x v="4"/>
    <x v="0"/>
    <x v="7"/>
    <n v="3"/>
    <n v="8900"/>
    <n v="0.2"/>
    <n v="21360"/>
    <n v="19200"/>
    <n v="2160"/>
    <x v="2"/>
    <s v="Sara"/>
    <s v="Returning"/>
    <n v="0.10112359550561797"/>
    <s v="Good Profit"/>
    <s v="High Value"/>
  </r>
  <r>
    <s v="ORD0009"/>
    <d v="2025-01-17T00:00:00"/>
    <x v="3"/>
    <x v="3"/>
    <x v="0"/>
    <x v="0"/>
    <n v="1"/>
    <n v="5400"/>
    <n v="0.05"/>
    <n v="5130"/>
    <n v="3600"/>
    <n v="1530"/>
    <x v="3"/>
    <s v="Rohan"/>
    <s v="Returning"/>
    <n v="0.2982456140350877"/>
    <s v="Good Profit"/>
    <s v="High Value"/>
  </r>
  <r>
    <s v="ORD0010"/>
    <d v="2025-12-02T00:00:00"/>
    <x v="0"/>
    <x v="6"/>
    <x v="0"/>
    <x v="7"/>
    <n v="6"/>
    <n v="8900"/>
    <n v="0.05"/>
    <n v="50730"/>
    <n v="38400"/>
    <n v="12330"/>
    <x v="4"/>
    <s v="Rohan"/>
    <s v="Corporate"/>
    <n v="0.24305144884683619"/>
    <s v="Good Profit"/>
    <s v="High Value"/>
  </r>
  <r>
    <s v="ORD0011"/>
    <d v="2025-10-03T00:00:00"/>
    <x v="1"/>
    <x v="7"/>
    <x v="2"/>
    <x v="8"/>
    <n v="4"/>
    <n v="120"/>
    <n v="0.2"/>
    <n v="384"/>
    <n v="220"/>
    <n v="164"/>
    <x v="3"/>
    <s v="Rohan"/>
    <s v="Corporate"/>
    <n v="0.42708333333333331"/>
    <s v="Low Profit"/>
    <s v="Normal"/>
  </r>
  <r>
    <s v="ORD0012"/>
    <d v="2025-02-16T00:00:00"/>
    <x v="1"/>
    <x v="5"/>
    <x v="1"/>
    <x v="9"/>
    <n v="9"/>
    <n v="950"/>
    <n v="0.15"/>
    <n v="7267.5"/>
    <n v="5130"/>
    <n v="2137.5"/>
    <x v="0"/>
    <s v="Diya"/>
    <s v="New"/>
    <n v="0.29411764705882354"/>
    <s v="Good Profit"/>
    <s v="High Value"/>
  </r>
  <r>
    <s v="ORD0013"/>
    <d v="2025-11-02T00:00:00"/>
    <x v="2"/>
    <x v="2"/>
    <x v="0"/>
    <x v="5"/>
    <n v="7"/>
    <n v="6200"/>
    <n v="0.15"/>
    <n v="36890"/>
    <n v="30100"/>
    <n v="6790"/>
    <x v="4"/>
    <s v="Kabir"/>
    <s v="Corporate"/>
    <n v="0.18406072106261859"/>
    <s v="Good Profit"/>
    <s v="High Value"/>
  </r>
  <r>
    <s v="ORD0014"/>
    <d v="2025-02-27T00:00:00"/>
    <x v="0"/>
    <x v="0"/>
    <x v="0"/>
    <x v="10"/>
    <n v="5"/>
    <n v="1600"/>
    <n v="0.1"/>
    <n v="7200"/>
    <n v="4750"/>
    <n v="2450"/>
    <x v="3"/>
    <s v="Rohan"/>
    <s v="New"/>
    <n v="0.34027777777777779"/>
    <s v="Good Profit"/>
    <s v="High Value"/>
  </r>
  <r>
    <s v="ORD0015"/>
    <d v="2025-04-02T00:00:00"/>
    <x v="1"/>
    <x v="1"/>
    <x v="0"/>
    <x v="7"/>
    <n v="5"/>
    <n v="8900"/>
    <n v="0.2"/>
    <n v="35600"/>
    <n v="32000"/>
    <n v="3600"/>
    <x v="1"/>
    <s v="Diya"/>
    <s v="Corporate"/>
    <n v="0.10112359550561797"/>
    <s v="Good Profit"/>
    <s v="High Value"/>
  </r>
  <r>
    <s v="ORD0016"/>
    <d v="2025-09-29T00:00:00"/>
    <x v="3"/>
    <x v="3"/>
    <x v="1"/>
    <x v="3"/>
    <n v="3"/>
    <n v="1800"/>
    <n v="0.2"/>
    <n v="4320"/>
    <n v="3450"/>
    <n v="870"/>
    <x v="0"/>
    <s v="Ananya"/>
    <s v="Returning"/>
    <n v="0.2013888888888889"/>
    <s v="Good Profit"/>
    <s v="Normal"/>
  </r>
  <r>
    <s v="ORD0017"/>
    <d v="2025-05-04T00:00:00"/>
    <x v="0"/>
    <x v="0"/>
    <x v="2"/>
    <x v="11"/>
    <n v="4"/>
    <n v="450"/>
    <n v="0"/>
    <n v="1800"/>
    <n v="960"/>
    <n v="840"/>
    <x v="1"/>
    <s v="Diya"/>
    <s v="New"/>
    <n v="0.46666666666666667"/>
    <s v="Good Profit"/>
    <s v="Normal"/>
  </r>
  <r>
    <s v="ORD0018"/>
    <d v="2025-10-09T00:00:00"/>
    <x v="1"/>
    <x v="1"/>
    <x v="0"/>
    <x v="12"/>
    <n v="3"/>
    <n v="7800"/>
    <n v="0.15"/>
    <n v="19890"/>
    <n v="16500"/>
    <n v="3390"/>
    <x v="2"/>
    <s v="Kabir"/>
    <s v="Corporate"/>
    <n v="0.17043740573152338"/>
    <s v="Good Profit"/>
    <s v="High Value"/>
  </r>
  <r>
    <s v="ORD0019"/>
    <d v="2025-06-09T00:00:00"/>
    <x v="1"/>
    <x v="7"/>
    <x v="0"/>
    <x v="7"/>
    <n v="12"/>
    <n v="8900"/>
    <n v="0.05"/>
    <n v="101460"/>
    <n v="76800"/>
    <n v="24660"/>
    <x v="4"/>
    <s v="Ananya"/>
    <s v="Returning"/>
    <n v="0.24305144884683619"/>
    <s v="Good Profit"/>
    <s v="High Value"/>
  </r>
  <r>
    <s v="ORD0020"/>
    <d v="2025-01-11T00:00:00"/>
    <x v="1"/>
    <x v="1"/>
    <x v="1"/>
    <x v="9"/>
    <n v="2"/>
    <n v="950"/>
    <n v="0.1"/>
    <n v="1710"/>
    <n v="1140"/>
    <n v="570"/>
    <x v="1"/>
    <s v="Meera"/>
    <s v="Corporate"/>
    <n v="0.33333333333333331"/>
    <s v="Good Profit"/>
    <s v="Normal"/>
  </r>
  <r>
    <s v="ORD0021"/>
    <d v="2025-04-28T00:00:00"/>
    <x v="2"/>
    <x v="8"/>
    <x v="1"/>
    <x v="13"/>
    <n v="11"/>
    <n v="1200"/>
    <n v="0"/>
    <n v="13200"/>
    <n v="7700"/>
    <n v="5500"/>
    <x v="0"/>
    <s v="Aarav"/>
    <s v="Returning"/>
    <n v="0.41666666666666669"/>
    <s v="Good Profit"/>
    <s v="High Value"/>
  </r>
  <r>
    <s v="ORD0022"/>
    <d v="2025-10-04T00:00:00"/>
    <x v="0"/>
    <x v="6"/>
    <x v="2"/>
    <x v="6"/>
    <n v="8"/>
    <n v="90"/>
    <n v="0.05"/>
    <n v="684"/>
    <n v="320"/>
    <n v="364"/>
    <x v="2"/>
    <s v="Sara"/>
    <s v="New"/>
    <n v="0.53216374269005851"/>
    <s v="Low Profit"/>
    <s v="Normal"/>
  </r>
  <r>
    <s v="ORD0023"/>
    <d v="2025-07-01T00:00:00"/>
    <x v="1"/>
    <x v="9"/>
    <x v="1"/>
    <x v="1"/>
    <n v="2"/>
    <n v="650"/>
    <n v="0.15"/>
    <n v="1105"/>
    <n v="760"/>
    <n v="345"/>
    <x v="4"/>
    <s v="Rohan"/>
    <s v="Returning"/>
    <n v="0.31221719457013575"/>
    <s v="Low Profit"/>
    <s v="Normal"/>
  </r>
  <r>
    <s v="ORD0024"/>
    <d v="2025-02-25T00:00:00"/>
    <x v="0"/>
    <x v="0"/>
    <x v="1"/>
    <x v="2"/>
    <n v="12"/>
    <n v="550"/>
    <n v="0.1"/>
    <n v="5940"/>
    <n v="3600"/>
    <n v="2340"/>
    <x v="2"/>
    <s v="Meera"/>
    <s v="New"/>
    <n v="0.39393939393939392"/>
    <s v="Good Profit"/>
    <s v="High Value"/>
  </r>
  <r>
    <s v="ORD0025"/>
    <d v="2025-05-08T00:00:00"/>
    <x v="1"/>
    <x v="7"/>
    <x v="2"/>
    <x v="8"/>
    <n v="5"/>
    <n v="120"/>
    <n v="0.15"/>
    <n v="510"/>
    <n v="275"/>
    <n v="235"/>
    <x v="0"/>
    <s v="Sara"/>
    <s v="Corporate"/>
    <n v="0.46078431372549017"/>
    <s v="Low Profit"/>
    <s v="Normal"/>
  </r>
  <r>
    <s v="ORD0026"/>
    <d v="2025-05-02T00:00:00"/>
    <x v="0"/>
    <x v="0"/>
    <x v="0"/>
    <x v="10"/>
    <n v="1"/>
    <n v="1600"/>
    <n v="0"/>
    <n v="1600"/>
    <n v="950"/>
    <n v="650"/>
    <x v="2"/>
    <s v="Rohan"/>
    <s v="Returning"/>
    <n v="0.40625"/>
    <s v="Good Profit"/>
    <s v="Normal"/>
  </r>
  <r>
    <s v="ORD0027"/>
    <d v="2025-01-02T00:00:00"/>
    <x v="1"/>
    <x v="7"/>
    <x v="2"/>
    <x v="14"/>
    <n v="3"/>
    <n v="250"/>
    <n v="0.15"/>
    <n v="637.5"/>
    <n v="390"/>
    <n v="247.5"/>
    <x v="4"/>
    <s v="Kabir"/>
    <s v="Returning"/>
    <n v="0.38823529411764707"/>
    <s v="Low Profit"/>
    <s v="Normal"/>
  </r>
  <r>
    <s v="ORD0028"/>
    <d v="2025-03-21T00:00:00"/>
    <x v="3"/>
    <x v="10"/>
    <x v="0"/>
    <x v="7"/>
    <n v="9"/>
    <n v="8900"/>
    <n v="0.15"/>
    <n v="68085"/>
    <n v="57600"/>
    <n v="10485"/>
    <x v="2"/>
    <s v="Kabir"/>
    <s v="New"/>
    <n v="0.15399867812293458"/>
    <s v="Good Profit"/>
    <s v="High Value"/>
  </r>
  <r>
    <s v="ORD0029"/>
    <d v="2025-10-27T00:00:00"/>
    <x v="0"/>
    <x v="0"/>
    <x v="0"/>
    <x v="0"/>
    <n v="1"/>
    <n v="5400"/>
    <n v="0"/>
    <n v="5400"/>
    <n v="3600"/>
    <n v="1800"/>
    <x v="4"/>
    <s v="Ishaan"/>
    <s v="New"/>
    <n v="0.33333333333333331"/>
    <s v="Good Profit"/>
    <s v="High Value"/>
  </r>
  <r>
    <s v="ORD0030"/>
    <d v="2025-07-26T00:00:00"/>
    <x v="0"/>
    <x v="6"/>
    <x v="1"/>
    <x v="15"/>
    <n v="2"/>
    <n v="9500"/>
    <n v="0.05"/>
    <n v="18050"/>
    <n v="14400"/>
    <n v="3650"/>
    <x v="0"/>
    <s v="Meera"/>
    <s v="Corporate"/>
    <n v="0.20221606648199447"/>
    <s v="Good Profit"/>
    <s v="High Value"/>
  </r>
  <r>
    <s v="ORD0031"/>
    <d v="2025-09-25T00:00:00"/>
    <x v="0"/>
    <x v="0"/>
    <x v="2"/>
    <x v="6"/>
    <n v="10"/>
    <n v="90"/>
    <n v="0.2"/>
    <n v="720"/>
    <n v="400"/>
    <n v="320"/>
    <x v="3"/>
    <s v="Kabir"/>
    <s v="New"/>
    <n v="0.44444444444444442"/>
    <s v="Low Profit"/>
    <s v="Normal"/>
  </r>
  <r>
    <s v="ORD0032"/>
    <d v="2025-08-23T00:00:00"/>
    <x v="3"/>
    <x v="3"/>
    <x v="2"/>
    <x v="16"/>
    <n v="3"/>
    <n v="380"/>
    <n v="0.1"/>
    <n v="1026"/>
    <n v="750"/>
    <n v="276"/>
    <x v="3"/>
    <s v="Diya"/>
    <s v="New"/>
    <n v="0.26900584795321636"/>
    <s v="Low Profit"/>
    <s v="Normal"/>
  </r>
  <r>
    <s v="ORD0033"/>
    <d v="2025-05-16T00:00:00"/>
    <x v="1"/>
    <x v="1"/>
    <x v="1"/>
    <x v="15"/>
    <n v="4"/>
    <n v="9500"/>
    <n v="0.2"/>
    <n v="30400"/>
    <n v="28800"/>
    <n v="1600"/>
    <x v="2"/>
    <s v="Ananya"/>
    <s v="New"/>
    <n v="5.2631578947368418E-2"/>
    <s v="Good Profit"/>
    <s v="High Value"/>
  </r>
  <r>
    <s v="ORD0034"/>
    <d v="2025-12-27T00:00:00"/>
    <x v="2"/>
    <x v="11"/>
    <x v="2"/>
    <x v="8"/>
    <n v="8"/>
    <n v="120"/>
    <n v="0.2"/>
    <n v="768"/>
    <n v="440"/>
    <n v="328"/>
    <x v="3"/>
    <s v="Aarav"/>
    <s v="Corporate"/>
    <n v="0.42708333333333331"/>
    <s v="Low Profit"/>
    <s v="Normal"/>
  </r>
  <r>
    <s v="ORD0035"/>
    <d v="2025-10-11T00:00:00"/>
    <x v="3"/>
    <x v="4"/>
    <x v="1"/>
    <x v="3"/>
    <n v="2"/>
    <n v="1800"/>
    <n v="0"/>
    <n v="3600"/>
    <n v="2300"/>
    <n v="1300"/>
    <x v="2"/>
    <s v="Kabir"/>
    <s v="Returning"/>
    <n v="0.3611111111111111"/>
    <s v="Good Profit"/>
    <s v="Normal"/>
  </r>
  <r>
    <s v="ORD0036"/>
    <d v="2025-09-16T00:00:00"/>
    <x v="2"/>
    <x v="11"/>
    <x v="1"/>
    <x v="13"/>
    <n v="11"/>
    <n v="1200"/>
    <n v="0.1"/>
    <n v="11880"/>
    <n v="7700"/>
    <n v="4180"/>
    <x v="4"/>
    <s v="Kabir"/>
    <s v="New"/>
    <n v="0.35185185185185186"/>
    <s v="Good Profit"/>
    <s v="High Value"/>
  </r>
  <r>
    <s v="ORD0037"/>
    <d v="2025-03-08T00:00:00"/>
    <x v="0"/>
    <x v="12"/>
    <x v="2"/>
    <x v="14"/>
    <n v="1"/>
    <n v="250"/>
    <n v="0.1"/>
    <n v="225"/>
    <n v="130"/>
    <n v="95"/>
    <x v="3"/>
    <s v="Ishaan"/>
    <s v="Corporate"/>
    <n v="0.42222222222222222"/>
    <s v="Low Profit"/>
    <s v="Normal"/>
  </r>
  <r>
    <s v="ORD0038"/>
    <d v="2025-12-20T00:00:00"/>
    <x v="1"/>
    <x v="9"/>
    <x v="0"/>
    <x v="5"/>
    <n v="2"/>
    <n v="6200"/>
    <n v="0"/>
    <n v="12400"/>
    <n v="8600"/>
    <n v="3800"/>
    <x v="2"/>
    <s v="Aarav"/>
    <s v="Returning"/>
    <n v="0.30645161290322581"/>
    <s v="Good Profit"/>
    <s v="High Value"/>
  </r>
  <r>
    <s v="ORD0039"/>
    <d v="2025-01-21T00:00:00"/>
    <x v="2"/>
    <x v="2"/>
    <x v="1"/>
    <x v="1"/>
    <n v="5"/>
    <n v="650"/>
    <n v="0.1"/>
    <n v="2925"/>
    <n v="1900"/>
    <n v="1025"/>
    <x v="3"/>
    <s v="Meera"/>
    <s v="Corporate"/>
    <n v="0.3504273504273504"/>
    <s v="Good Profit"/>
    <s v="Normal"/>
  </r>
  <r>
    <s v="ORD0040"/>
    <d v="2025-03-21T00:00:00"/>
    <x v="2"/>
    <x v="8"/>
    <x v="2"/>
    <x v="17"/>
    <n v="7"/>
    <n v="180"/>
    <n v="0.2"/>
    <n v="1008"/>
    <n v="630"/>
    <n v="378"/>
    <x v="2"/>
    <s v="Ishaan"/>
    <s v="New"/>
    <n v="0.375"/>
    <s v="Low Profit"/>
    <s v="Normal"/>
  </r>
  <r>
    <s v="ORD0041"/>
    <d v="2025-12-09T00:00:00"/>
    <x v="1"/>
    <x v="1"/>
    <x v="1"/>
    <x v="13"/>
    <n v="6"/>
    <n v="1200"/>
    <n v="0.15"/>
    <n v="6120"/>
    <n v="4200"/>
    <n v="1920"/>
    <x v="2"/>
    <s v="Kabir"/>
    <s v="New"/>
    <n v="0.31372549019607843"/>
    <s v="Good Profit"/>
    <s v="High Value"/>
  </r>
  <r>
    <s v="ORD0042"/>
    <d v="2025-08-24T00:00:00"/>
    <x v="0"/>
    <x v="12"/>
    <x v="1"/>
    <x v="2"/>
    <n v="4"/>
    <n v="550"/>
    <n v="0.05"/>
    <n v="2090"/>
    <n v="1200"/>
    <n v="890"/>
    <x v="3"/>
    <s v="Kabir"/>
    <s v="New"/>
    <n v="0.42583732057416268"/>
    <s v="Good Profit"/>
    <s v="Normal"/>
  </r>
  <r>
    <s v="ORD0043"/>
    <d v="2025-05-23T00:00:00"/>
    <x v="2"/>
    <x v="8"/>
    <x v="0"/>
    <x v="12"/>
    <n v="7"/>
    <n v="7800"/>
    <n v="0.1"/>
    <n v="49140"/>
    <n v="38500"/>
    <n v="10640"/>
    <x v="0"/>
    <s v="Kabir"/>
    <s v="Returning"/>
    <n v="0.21652421652421652"/>
    <s v="Good Profit"/>
    <s v="High Value"/>
  </r>
  <r>
    <s v="ORD0044"/>
    <d v="2025-10-25T00:00:00"/>
    <x v="1"/>
    <x v="5"/>
    <x v="1"/>
    <x v="1"/>
    <n v="5"/>
    <n v="650"/>
    <n v="0.05"/>
    <n v="3087.5"/>
    <n v="1900"/>
    <n v="1187.5"/>
    <x v="3"/>
    <s v="Aarav"/>
    <s v="New"/>
    <n v="0.38461538461538464"/>
    <s v="Good Profit"/>
    <s v="Normal"/>
  </r>
  <r>
    <s v="ORD0045"/>
    <d v="2025-09-19T00:00:00"/>
    <x v="1"/>
    <x v="5"/>
    <x v="0"/>
    <x v="0"/>
    <n v="7"/>
    <n v="5400"/>
    <n v="0.2"/>
    <n v="30240"/>
    <n v="25200"/>
    <n v="5040"/>
    <x v="0"/>
    <s v="Rohan"/>
    <s v="Corporate"/>
    <n v="0.16666666666666666"/>
    <s v="Good Profit"/>
    <s v="High Value"/>
  </r>
  <r>
    <s v="ORD0046"/>
    <d v="2025-09-24T00:00:00"/>
    <x v="2"/>
    <x v="11"/>
    <x v="1"/>
    <x v="13"/>
    <n v="7"/>
    <n v="1200"/>
    <n v="0"/>
    <n v="8400"/>
    <n v="4900"/>
    <n v="3500"/>
    <x v="1"/>
    <s v="Meera"/>
    <s v="Returning"/>
    <n v="0.41666666666666669"/>
    <s v="Good Profit"/>
    <s v="High Value"/>
  </r>
  <r>
    <s v="ORD0047"/>
    <d v="2025-12-06T00:00:00"/>
    <x v="1"/>
    <x v="1"/>
    <x v="0"/>
    <x v="0"/>
    <n v="10"/>
    <n v="5400"/>
    <n v="0.1"/>
    <n v="48600"/>
    <n v="36000"/>
    <n v="12600"/>
    <x v="0"/>
    <s v="Kabir"/>
    <s v="Corporate"/>
    <n v="0.25925925925925924"/>
    <s v="Good Profit"/>
    <s v="High Value"/>
  </r>
  <r>
    <s v="ORD0048"/>
    <d v="2025-10-11T00:00:00"/>
    <x v="3"/>
    <x v="10"/>
    <x v="2"/>
    <x v="16"/>
    <n v="12"/>
    <n v="380"/>
    <n v="0.1"/>
    <n v="4104"/>
    <n v="3000"/>
    <n v="1104"/>
    <x v="2"/>
    <s v="Meera"/>
    <s v="Returning"/>
    <n v="0.26900584795321636"/>
    <s v="Good Profit"/>
    <s v="Normal"/>
  </r>
  <r>
    <s v="ORD0049"/>
    <d v="2025-10-08T00:00:00"/>
    <x v="1"/>
    <x v="7"/>
    <x v="0"/>
    <x v="10"/>
    <n v="5"/>
    <n v="1600"/>
    <n v="0.15"/>
    <n v="6800"/>
    <n v="4750"/>
    <n v="2050"/>
    <x v="0"/>
    <s v="Kabir"/>
    <s v="Returning"/>
    <n v="0.3014705882352941"/>
    <s v="Good Profit"/>
    <s v="High Value"/>
  </r>
  <r>
    <s v="ORD0050"/>
    <d v="2025-08-27T00:00:00"/>
    <x v="2"/>
    <x v="2"/>
    <x v="0"/>
    <x v="10"/>
    <n v="11"/>
    <n v="1600"/>
    <n v="0.1"/>
    <n v="15840"/>
    <n v="10450"/>
    <n v="5390"/>
    <x v="4"/>
    <s v="Sara"/>
    <s v="Corporate"/>
    <n v="0.34027777777777779"/>
    <s v="Good Profit"/>
    <s v="High Value"/>
  </r>
  <r>
    <s v="ORD0051"/>
    <d v="2025-05-26T00:00:00"/>
    <x v="2"/>
    <x v="2"/>
    <x v="0"/>
    <x v="12"/>
    <n v="11"/>
    <n v="7800"/>
    <n v="0"/>
    <n v="85800"/>
    <n v="60500"/>
    <n v="25300"/>
    <x v="1"/>
    <s v="Ananya"/>
    <s v="New"/>
    <n v="0.29487179487179488"/>
    <s v="Good Profit"/>
    <s v="High Value"/>
  </r>
  <r>
    <s v="ORD0052"/>
    <d v="2025-01-24T00:00:00"/>
    <x v="2"/>
    <x v="11"/>
    <x v="1"/>
    <x v="9"/>
    <n v="3"/>
    <n v="950"/>
    <n v="0"/>
    <n v="2850"/>
    <n v="1710"/>
    <n v="1140"/>
    <x v="2"/>
    <s v="Sara"/>
    <s v="Corporate"/>
    <n v="0.4"/>
    <s v="Good Profit"/>
    <s v="Normal"/>
  </r>
  <r>
    <s v="ORD0053"/>
    <d v="2025-12-23T00:00:00"/>
    <x v="0"/>
    <x v="12"/>
    <x v="2"/>
    <x v="6"/>
    <n v="10"/>
    <n v="90"/>
    <n v="0.05"/>
    <n v="855"/>
    <n v="400"/>
    <n v="455"/>
    <x v="4"/>
    <s v="Sara"/>
    <s v="Returning"/>
    <n v="0.53216374269005851"/>
    <s v="Low Profit"/>
    <s v="Normal"/>
  </r>
  <r>
    <s v="ORD0054"/>
    <d v="2025-08-06T00:00:00"/>
    <x v="2"/>
    <x v="13"/>
    <x v="0"/>
    <x v="7"/>
    <n v="1"/>
    <n v="8900"/>
    <n v="0"/>
    <n v="8900"/>
    <n v="6400"/>
    <n v="2500"/>
    <x v="2"/>
    <s v="Ishaan"/>
    <s v="Corporate"/>
    <n v="0.2808988764044944"/>
    <s v="Good Profit"/>
    <s v="High Value"/>
  </r>
  <r>
    <s v="ORD0055"/>
    <d v="2025-03-10T00:00:00"/>
    <x v="1"/>
    <x v="1"/>
    <x v="0"/>
    <x v="12"/>
    <n v="2"/>
    <n v="7800"/>
    <n v="0.15"/>
    <n v="13260"/>
    <n v="11000"/>
    <n v="2260"/>
    <x v="4"/>
    <s v="Ananya"/>
    <s v="Returning"/>
    <n v="0.17043740573152338"/>
    <s v="Good Profit"/>
    <s v="High Value"/>
  </r>
  <r>
    <s v="ORD0056"/>
    <d v="2025-05-13T00:00:00"/>
    <x v="1"/>
    <x v="9"/>
    <x v="1"/>
    <x v="13"/>
    <n v="8"/>
    <n v="1200"/>
    <n v="0.15"/>
    <n v="8160"/>
    <n v="5600"/>
    <n v="2560"/>
    <x v="2"/>
    <s v="Kabir"/>
    <s v="Corporate"/>
    <n v="0.31372549019607843"/>
    <s v="Good Profit"/>
    <s v="High Value"/>
  </r>
  <r>
    <s v="ORD0057"/>
    <d v="2025-05-01T00:00:00"/>
    <x v="1"/>
    <x v="7"/>
    <x v="2"/>
    <x v="16"/>
    <n v="2"/>
    <n v="380"/>
    <n v="0.1"/>
    <n v="684"/>
    <n v="500"/>
    <n v="184"/>
    <x v="3"/>
    <s v="Ananya"/>
    <s v="Returning"/>
    <n v="0.26900584795321636"/>
    <s v="Low Profit"/>
    <s v="Normal"/>
  </r>
  <r>
    <s v="ORD0058"/>
    <d v="2025-12-28T00:00:00"/>
    <x v="0"/>
    <x v="6"/>
    <x v="1"/>
    <x v="9"/>
    <n v="7"/>
    <n v="950"/>
    <n v="0.05"/>
    <n v="6317.5"/>
    <n v="3990"/>
    <n v="2327.5"/>
    <x v="2"/>
    <s v="Diya"/>
    <s v="Returning"/>
    <n v="0.36842105263157893"/>
    <s v="Good Profit"/>
    <s v="High Value"/>
  </r>
  <r>
    <s v="ORD0059"/>
    <d v="2025-04-16T00:00:00"/>
    <x v="1"/>
    <x v="5"/>
    <x v="0"/>
    <x v="4"/>
    <n v="7"/>
    <n v="950"/>
    <n v="0"/>
    <n v="6650"/>
    <n v="3640"/>
    <n v="3010"/>
    <x v="4"/>
    <s v="Rohan"/>
    <s v="Corporate"/>
    <n v="0.45263157894736844"/>
    <s v="Good Profit"/>
    <s v="High Value"/>
  </r>
  <r>
    <s v="ORD0060"/>
    <d v="2025-07-19T00:00:00"/>
    <x v="0"/>
    <x v="12"/>
    <x v="2"/>
    <x v="14"/>
    <n v="6"/>
    <n v="250"/>
    <n v="0.1"/>
    <n v="1350"/>
    <n v="780"/>
    <n v="570"/>
    <x v="4"/>
    <s v="Meera"/>
    <s v="Returning"/>
    <n v="0.42222222222222222"/>
    <s v="Good Profit"/>
    <s v="Normal"/>
  </r>
  <r>
    <s v="ORD0061"/>
    <d v="2025-06-22T00:00:00"/>
    <x v="2"/>
    <x v="11"/>
    <x v="2"/>
    <x v="16"/>
    <n v="1"/>
    <n v="380"/>
    <n v="0.15"/>
    <n v="323"/>
    <n v="250"/>
    <n v="73"/>
    <x v="4"/>
    <s v="Ishaan"/>
    <s v="Returning"/>
    <n v="0.2260061919504644"/>
    <s v="Low Profit"/>
    <s v="Normal"/>
  </r>
  <r>
    <s v="ORD0062"/>
    <d v="2025-02-12T00:00:00"/>
    <x v="2"/>
    <x v="8"/>
    <x v="2"/>
    <x v="17"/>
    <n v="10"/>
    <n v="180"/>
    <n v="0"/>
    <n v="1800"/>
    <n v="900"/>
    <n v="900"/>
    <x v="4"/>
    <s v="Ishaan"/>
    <s v="Returning"/>
    <n v="0.5"/>
    <s v="Good Profit"/>
    <s v="Normal"/>
  </r>
  <r>
    <s v="ORD0063"/>
    <d v="2025-08-21T00:00:00"/>
    <x v="2"/>
    <x v="8"/>
    <x v="2"/>
    <x v="16"/>
    <n v="6"/>
    <n v="380"/>
    <n v="0.05"/>
    <n v="2166"/>
    <n v="1500"/>
    <n v="666"/>
    <x v="3"/>
    <s v="Ananya"/>
    <s v="Returning"/>
    <n v="0.30747922437673131"/>
    <s v="Good Profit"/>
    <s v="Normal"/>
  </r>
  <r>
    <s v="ORD0064"/>
    <d v="2025-10-04T00:00:00"/>
    <x v="3"/>
    <x v="10"/>
    <x v="2"/>
    <x v="14"/>
    <n v="8"/>
    <n v="250"/>
    <n v="0"/>
    <n v="2000"/>
    <n v="1040"/>
    <n v="960"/>
    <x v="0"/>
    <s v="Ananya"/>
    <s v="New"/>
    <n v="0.48"/>
    <s v="Good Profit"/>
    <s v="Normal"/>
  </r>
  <r>
    <s v="ORD0065"/>
    <d v="2025-11-15T00:00:00"/>
    <x v="0"/>
    <x v="0"/>
    <x v="1"/>
    <x v="9"/>
    <n v="4"/>
    <n v="950"/>
    <n v="0"/>
    <n v="3800"/>
    <n v="2280"/>
    <n v="1520"/>
    <x v="2"/>
    <s v="Meera"/>
    <s v="New"/>
    <n v="0.4"/>
    <s v="Good Profit"/>
    <s v="Normal"/>
  </r>
  <r>
    <s v="ORD0066"/>
    <d v="2025-07-08T00:00:00"/>
    <x v="1"/>
    <x v="1"/>
    <x v="0"/>
    <x v="12"/>
    <n v="8"/>
    <n v="7800"/>
    <n v="0.1"/>
    <n v="56160"/>
    <n v="44000"/>
    <n v="12160"/>
    <x v="2"/>
    <s v="Diya"/>
    <s v="New"/>
    <n v="0.21652421652421652"/>
    <s v="Good Profit"/>
    <s v="High Value"/>
  </r>
  <r>
    <s v="ORD0067"/>
    <d v="2025-12-13T00:00:00"/>
    <x v="3"/>
    <x v="4"/>
    <x v="0"/>
    <x v="5"/>
    <n v="5"/>
    <n v="6200"/>
    <n v="0.2"/>
    <n v="24800"/>
    <n v="21500"/>
    <n v="3300"/>
    <x v="4"/>
    <s v="Rohan"/>
    <s v="Corporate"/>
    <n v="0.13306451612903225"/>
    <s v="Good Profit"/>
    <s v="High Value"/>
  </r>
  <r>
    <s v="ORD0068"/>
    <d v="2025-02-22T00:00:00"/>
    <x v="2"/>
    <x v="8"/>
    <x v="0"/>
    <x v="7"/>
    <n v="11"/>
    <n v="8900"/>
    <n v="0.05"/>
    <n v="93005"/>
    <n v="70400"/>
    <n v="22605"/>
    <x v="3"/>
    <s v="Diya"/>
    <s v="Corporate"/>
    <n v="0.24305144884683619"/>
    <s v="Good Profit"/>
    <s v="High Value"/>
  </r>
  <r>
    <s v="ORD0069"/>
    <d v="2025-02-05T00:00:00"/>
    <x v="0"/>
    <x v="14"/>
    <x v="0"/>
    <x v="4"/>
    <n v="11"/>
    <n v="950"/>
    <n v="0.1"/>
    <n v="9405"/>
    <n v="5720"/>
    <n v="3685"/>
    <x v="1"/>
    <s v="Ananya"/>
    <s v="New"/>
    <n v="0.391812865497076"/>
    <s v="Good Profit"/>
    <s v="High Value"/>
  </r>
  <r>
    <s v="ORD0070"/>
    <d v="2025-12-29T00:00:00"/>
    <x v="1"/>
    <x v="9"/>
    <x v="1"/>
    <x v="2"/>
    <n v="6"/>
    <n v="550"/>
    <n v="0.15"/>
    <n v="2805"/>
    <n v="1800"/>
    <n v="1005"/>
    <x v="2"/>
    <s v="Rohan"/>
    <s v="New"/>
    <n v="0.35828877005347592"/>
    <s v="Good Profit"/>
    <s v="Normal"/>
  </r>
  <r>
    <s v="ORD0071"/>
    <d v="2025-05-18T00:00:00"/>
    <x v="3"/>
    <x v="10"/>
    <x v="2"/>
    <x v="16"/>
    <n v="12"/>
    <n v="380"/>
    <n v="0.2"/>
    <n v="3648"/>
    <n v="3000"/>
    <n v="648"/>
    <x v="3"/>
    <s v="Meera"/>
    <s v="New"/>
    <n v="0.17763157894736842"/>
    <s v="Good Profit"/>
    <s v="Normal"/>
  </r>
  <r>
    <s v="ORD0072"/>
    <d v="2025-12-09T00:00:00"/>
    <x v="3"/>
    <x v="10"/>
    <x v="1"/>
    <x v="2"/>
    <n v="10"/>
    <n v="550"/>
    <n v="0.2"/>
    <n v="4400"/>
    <n v="3000"/>
    <n v="1400"/>
    <x v="4"/>
    <s v="Ananya"/>
    <s v="New"/>
    <n v="0.31818181818181818"/>
    <s v="Good Profit"/>
    <s v="Normal"/>
  </r>
  <r>
    <s v="ORD0073"/>
    <d v="2025-05-13T00:00:00"/>
    <x v="1"/>
    <x v="5"/>
    <x v="1"/>
    <x v="2"/>
    <n v="4"/>
    <n v="550"/>
    <n v="0.1"/>
    <n v="1980"/>
    <n v="1200"/>
    <n v="780"/>
    <x v="3"/>
    <s v="Kabir"/>
    <s v="Corporate"/>
    <n v="0.39393939393939392"/>
    <s v="Good Profit"/>
    <s v="Normal"/>
  </r>
  <r>
    <s v="ORD0074"/>
    <d v="2025-07-28T00:00:00"/>
    <x v="3"/>
    <x v="4"/>
    <x v="0"/>
    <x v="12"/>
    <n v="2"/>
    <n v="7800"/>
    <n v="0.05"/>
    <n v="14820"/>
    <n v="11000"/>
    <n v="3820"/>
    <x v="4"/>
    <s v="Meera"/>
    <s v="Corporate"/>
    <n v="0.25775978407557354"/>
    <s v="Good Profit"/>
    <s v="High Value"/>
  </r>
  <r>
    <s v="ORD0075"/>
    <d v="2025-04-24T00:00:00"/>
    <x v="1"/>
    <x v="9"/>
    <x v="2"/>
    <x v="14"/>
    <n v="2"/>
    <n v="250"/>
    <n v="0.1"/>
    <n v="450"/>
    <n v="260"/>
    <n v="190"/>
    <x v="4"/>
    <s v="Meera"/>
    <s v="Returning"/>
    <n v="0.42222222222222222"/>
    <s v="Low Profit"/>
    <s v="Normal"/>
  </r>
  <r>
    <s v="ORD0076"/>
    <d v="2025-10-09T00:00:00"/>
    <x v="3"/>
    <x v="10"/>
    <x v="0"/>
    <x v="10"/>
    <n v="6"/>
    <n v="1600"/>
    <n v="0.15"/>
    <n v="8160"/>
    <n v="5700"/>
    <n v="2460"/>
    <x v="3"/>
    <s v="Ananya"/>
    <s v="Corporate"/>
    <n v="0.3014705882352941"/>
    <s v="Good Profit"/>
    <s v="High Value"/>
  </r>
  <r>
    <s v="ORD0077"/>
    <d v="2025-04-09T00:00:00"/>
    <x v="1"/>
    <x v="5"/>
    <x v="2"/>
    <x v="11"/>
    <n v="4"/>
    <n v="450"/>
    <n v="0"/>
    <n v="1800"/>
    <n v="960"/>
    <n v="840"/>
    <x v="3"/>
    <s v="Diya"/>
    <s v="Corporate"/>
    <n v="0.46666666666666667"/>
    <s v="Good Profit"/>
    <s v="Normal"/>
  </r>
  <r>
    <s v="ORD0078"/>
    <d v="2025-10-29T00:00:00"/>
    <x v="2"/>
    <x v="13"/>
    <x v="1"/>
    <x v="13"/>
    <n v="8"/>
    <n v="1200"/>
    <n v="0.1"/>
    <n v="8640"/>
    <n v="5600"/>
    <n v="3040"/>
    <x v="1"/>
    <s v="Kabir"/>
    <s v="New"/>
    <n v="0.35185185185185186"/>
    <s v="Good Profit"/>
    <s v="High Value"/>
  </r>
  <r>
    <s v="ORD0079"/>
    <d v="2025-01-08T00:00:00"/>
    <x v="2"/>
    <x v="11"/>
    <x v="1"/>
    <x v="3"/>
    <n v="3"/>
    <n v="1800"/>
    <n v="0.1"/>
    <n v="4860"/>
    <n v="3450"/>
    <n v="1410"/>
    <x v="1"/>
    <s v="Ishaan"/>
    <s v="Returning"/>
    <n v="0.29012345679012347"/>
    <s v="Good Profit"/>
    <s v="Normal"/>
  </r>
  <r>
    <s v="ORD0080"/>
    <d v="2025-11-23T00:00:00"/>
    <x v="0"/>
    <x v="0"/>
    <x v="0"/>
    <x v="0"/>
    <n v="12"/>
    <n v="5400"/>
    <n v="0.05"/>
    <n v="61560"/>
    <n v="43200"/>
    <n v="18360"/>
    <x v="4"/>
    <s v="Diya"/>
    <s v="New"/>
    <n v="0.2982456140350877"/>
    <s v="Good Profit"/>
    <s v="High Value"/>
  </r>
  <r>
    <s v="ORD0081"/>
    <d v="2025-01-27T00:00:00"/>
    <x v="3"/>
    <x v="10"/>
    <x v="2"/>
    <x v="16"/>
    <n v="6"/>
    <n v="380"/>
    <n v="0.05"/>
    <n v="2166"/>
    <n v="1500"/>
    <n v="666"/>
    <x v="3"/>
    <s v="Sara"/>
    <s v="New"/>
    <n v="0.30747922437673131"/>
    <s v="Good Profit"/>
    <s v="Normal"/>
  </r>
  <r>
    <s v="ORD0082"/>
    <d v="2025-03-19T00:00:00"/>
    <x v="0"/>
    <x v="12"/>
    <x v="2"/>
    <x v="14"/>
    <n v="10"/>
    <n v="250"/>
    <n v="0"/>
    <n v="2500"/>
    <n v="1300"/>
    <n v="1200"/>
    <x v="2"/>
    <s v="Kabir"/>
    <s v="New"/>
    <n v="0.48"/>
    <s v="Good Profit"/>
    <s v="Normal"/>
  </r>
  <r>
    <s v="ORD0083"/>
    <d v="2025-11-13T00:00:00"/>
    <x v="2"/>
    <x v="8"/>
    <x v="0"/>
    <x v="4"/>
    <n v="10"/>
    <n v="950"/>
    <n v="0.2"/>
    <n v="7600"/>
    <n v="5200"/>
    <n v="2400"/>
    <x v="2"/>
    <s v="Rohan"/>
    <s v="Returning"/>
    <n v="0.31578947368421051"/>
    <s v="Good Profit"/>
    <s v="High Value"/>
  </r>
  <r>
    <s v="ORD0084"/>
    <d v="2025-11-14T00:00:00"/>
    <x v="1"/>
    <x v="5"/>
    <x v="0"/>
    <x v="4"/>
    <n v="5"/>
    <n v="950"/>
    <n v="0.2"/>
    <n v="3800"/>
    <n v="2600"/>
    <n v="1200"/>
    <x v="0"/>
    <s v="Diya"/>
    <s v="New"/>
    <n v="0.31578947368421051"/>
    <s v="Good Profit"/>
    <s v="Normal"/>
  </r>
  <r>
    <s v="ORD0085"/>
    <d v="2025-03-30T00:00:00"/>
    <x v="2"/>
    <x v="11"/>
    <x v="0"/>
    <x v="5"/>
    <n v="3"/>
    <n v="6200"/>
    <n v="0.05"/>
    <n v="17670"/>
    <n v="12900"/>
    <n v="4770"/>
    <x v="1"/>
    <s v="Diya"/>
    <s v="New"/>
    <n v="0.2699490662139219"/>
    <s v="Good Profit"/>
    <s v="High Value"/>
  </r>
  <r>
    <s v="ORD0086"/>
    <d v="2025-05-30T00:00:00"/>
    <x v="0"/>
    <x v="12"/>
    <x v="2"/>
    <x v="6"/>
    <n v="10"/>
    <n v="90"/>
    <n v="0.15"/>
    <n v="765"/>
    <n v="400"/>
    <n v="365"/>
    <x v="0"/>
    <s v="Meera"/>
    <s v="Returning"/>
    <n v="0.47712418300653597"/>
    <s v="Low Profit"/>
    <s v="Normal"/>
  </r>
  <r>
    <s v="ORD0087"/>
    <d v="2025-11-17T00:00:00"/>
    <x v="3"/>
    <x v="10"/>
    <x v="1"/>
    <x v="13"/>
    <n v="4"/>
    <n v="1200"/>
    <n v="0.1"/>
    <n v="4320"/>
    <n v="2800"/>
    <n v="1520"/>
    <x v="1"/>
    <s v="Meera"/>
    <s v="Returning"/>
    <n v="0.35185185185185186"/>
    <s v="Good Profit"/>
    <s v="Normal"/>
  </r>
  <r>
    <s v="ORD0088"/>
    <d v="2025-02-06T00:00:00"/>
    <x v="0"/>
    <x v="6"/>
    <x v="0"/>
    <x v="12"/>
    <n v="5"/>
    <n v="7800"/>
    <n v="0.05"/>
    <n v="37050"/>
    <n v="27500"/>
    <n v="9550"/>
    <x v="0"/>
    <s v="Ishaan"/>
    <s v="Returning"/>
    <n v="0.25775978407557354"/>
    <s v="Good Profit"/>
    <s v="High Value"/>
  </r>
  <r>
    <s v="ORD0089"/>
    <d v="2025-12-25T00:00:00"/>
    <x v="3"/>
    <x v="10"/>
    <x v="1"/>
    <x v="2"/>
    <n v="12"/>
    <n v="550"/>
    <n v="0.1"/>
    <n v="5940"/>
    <n v="3600"/>
    <n v="2340"/>
    <x v="4"/>
    <s v="Kabir"/>
    <s v="Corporate"/>
    <n v="0.39393939393939392"/>
    <s v="Good Profit"/>
    <s v="High Value"/>
  </r>
  <r>
    <s v="ORD0090"/>
    <d v="2025-06-15T00:00:00"/>
    <x v="1"/>
    <x v="9"/>
    <x v="1"/>
    <x v="15"/>
    <n v="1"/>
    <n v="9500"/>
    <n v="0.15"/>
    <n v="8075"/>
    <n v="7200"/>
    <n v="875"/>
    <x v="1"/>
    <s v="Kabir"/>
    <s v="New"/>
    <n v="0.10835913312693499"/>
    <s v="Good Profit"/>
    <s v="Normal"/>
  </r>
  <r>
    <s v="ORD0091"/>
    <d v="2025-12-11T00:00:00"/>
    <x v="0"/>
    <x v="6"/>
    <x v="0"/>
    <x v="10"/>
    <n v="10"/>
    <n v="1600"/>
    <n v="0"/>
    <n v="16000"/>
    <n v="9500"/>
    <n v="6500"/>
    <x v="3"/>
    <s v="Aarav"/>
    <s v="New"/>
    <n v="0.40625"/>
    <s v="Good Profit"/>
    <s v="High Value"/>
  </r>
  <r>
    <s v="ORD0092"/>
    <d v="2025-11-22T00:00:00"/>
    <x v="1"/>
    <x v="9"/>
    <x v="2"/>
    <x v="8"/>
    <n v="10"/>
    <n v="120"/>
    <n v="0.15"/>
    <n v="1020"/>
    <n v="550"/>
    <n v="470"/>
    <x v="4"/>
    <s v="Diya"/>
    <s v="Returning"/>
    <n v="0.46078431372549017"/>
    <s v="Low Profit"/>
    <s v="Normal"/>
  </r>
  <r>
    <s v="ORD0093"/>
    <d v="2025-03-24T00:00:00"/>
    <x v="3"/>
    <x v="10"/>
    <x v="2"/>
    <x v="11"/>
    <n v="11"/>
    <n v="450"/>
    <n v="0"/>
    <n v="4950"/>
    <n v="2640"/>
    <n v="2310"/>
    <x v="3"/>
    <s v="Rohan"/>
    <s v="Corporate"/>
    <n v="0.46666666666666667"/>
    <s v="Good Profit"/>
    <s v="Normal"/>
  </r>
  <r>
    <s v="ORD0094"/>
    <d v="2025-08-21T00:00:00"/>
    <x v="1"/>
    <x v="5"/>
    <x v="0"/>
    <x v="4"/>
    <n v="9"/>
    <n v="950"/>
    <n v="0"/>
    <n v="8550"/>
    <n v="4680"/>
    <n v="3870"/>
    <x v="0"/>
    <s v="Ananya"/>
    <s v="Returning"/>
    <n v="0.45263157894736844"/>
    <s v="Good Profit"/>
    <s v="High Value"/>
  </r>
  <r>
    <s v="ORD0095"/>
    <d v="2025-08-25T00:00:00"/>
    <x v="3"/>
    <x v="4"/>
    <x v="2"/>
    <x v="17"/>
    <n v="1"/>
    <n v="180"/>
    <n v="0.2"/>
    <n v="144"/>
    <n v="90"/>
    <n v="54"/>
    <x v="4"/>
    <s v="Aarav"/>
    <s v="New"/>
    <n v="0.375"/>
    <s v="Low Profit"/>
    <s v="Normal"/>
  </r>
  <r>
    <s v="ORD0096"/>
    <d v="2025-05-17T00:00:00"/>
    <x v="3"/>
    <x v="10"/>
    <x v="0"/>
    <x v="4"/>
    <n v="1"/>
    <n v="950"/>
    <n v="0.05"/>
    <n v="902.5"/>
    <n v="520"/>
    <n v="382.5"/>
    <x v="1"/>
    <s v="Ishaan"/>
    <s v="Returning"/>
    <n v="0.42382271468144045"/>
    <s v="Low Profit"/>
    <s v="Normal"/>
  </r>
  <r>
    <s v="ORD0097"/>
    <d v="2025-05-03T00:00:00"/>
    <x v="1"/>
    <x v="9"/>
    <x v="1"/>
    <x v="1"/>
    <n v="11"/>
    <n v="650"/>
    <n v="0.2"/>
    <n v="5720"/>
    <n v="4180"/>
    <n v="1540"/>
    <x v="2"/>
    <s v="Kabir"/>
    <s v="Corporate"/>
    <n v="0.26923076923076922"/>
    <s v="Good Profit"/>
    <s v="High Value"/>
  </r>
  <r>
    <s v="ORD0098"/>
    <d v="2025-03-02T00:00:00"/>
    <x v="0"/>
    <x v="12"/>
    <x v="1"/>
    <x v="9"/>
    <n v="2"/>
    <n v="950"/>
    <n v="0.15"/>
    <n v="1615"/>
    <n v="1140"/>
    <n v="475"/>
    <x v="2"/>
    <s v="Sara"/>
    <s v="Corporate"/>
    <n v="0.29411764705882354"/>
    <s v="Low Profit"/>
    <s v="Normal"/>
  </r>
  <r>
    <s v="ORD0099"/>
    <d v="2025-08-22T00:00:00"/>
    <x v="3"/>
    <x v="15"/>
    <x v="2"/>
    <x v="16"/>
    <n v="8"/>
    <n v="380"/>
    <n v="0.05"/>
    <n v="2888"/>
    <n v="2000"/>
    <n v="888"/>
    <x v="1"/>
    <s v="Ishaan"/>
    <s v="Returning"/>
    <n v="0.30747922437673131"/>
    <s v="Good Profit"/>
    <s v="Normal"/>
  </r>
  <r>
    <s v="ORD0100"/>
    <d v="2025-09-17T00:00:00"/>
    <x v="2"/>
    <x v="13"/>
    <x v="1"/>
    <x v="3"/>
    <n v="7"/>
    <n v="1800"/>
    <n v="0.1"/>
    <n v="11340"/>
    <n v="8050"/>
    <n v="3290"/>
    <x v="3"/>
    <s v="Aarav"/>
    <s v="Returning"/>
    <n v="0.29012345679012347"/>
    <s v="Good Profit"/>
    <s v="High Value"/>
  </r>
  <r>
    <s v="ORD0101"/>
    <d v="2025-06-26T00:00:00"/>
    <x v="3"/>
    <x v="10"/>
    <x v="1"/>
    <x v="2"/>
    <n v="9"/>
    <n v="550"/>
    <n v="0.15"/>
    <n v="4207.5"/>
    <n v="2700"/>
    <n v="1507.5"/>
    <x v="3"/>
    <s v="Rohan"/>
    <s v="Returning"/>
    <n v="0.35828877005347592"/>
    <s v="Good Profit"/>
    <s v="Normal"/>
  </r>
  <r>
    <s v="ORD0102"/>
    <d v="2025-04-30T00:00:00"/>
    <x v="3"/>
    <x v="3"/>
    <x v="0"/>
    <x v="12"/>
    <n v="10"/>
    <n v="7800"/>
    <n v="0.15"/>
    <n v="66300"/>
    <n v="55000"/>
    <n v="11300"/>
    <x v="4"/>
    <s v="Aarav"/>
    <s v="Returning"/>
    <n v="0.17043740573152338"/>
    <s v="Good Profit"/>
    <s v="High Value"/>
  </r>
  <r>
    <s v="ORD0103"/>
    <d v="2025-09-11T00:00:00"/>
    <x v="1"/>
    <x v="9"/>
    <x v="2"/>
    <x v="6"/>
    <n v="11"/>
    <n v="90"/>
    <n v="0.05"/>
    <n v="940.5"/>
    <n v="440"/>
    <n v="500.5"/>
    <x v="0"/>
    <s v="Ishaan"/>
    <s v="Corporate"/>
    <n v="0.53216374269005851"/>
    <s v="Good Profit"/>
    <s v="Normal"/>
  </r>
  <r>
    <s v="ORD0104"/>
    <d v="2025-01-08T00:00:00"/>
    <x v="3"/>
    <x v="4"/>
    <x v="2"/>
    <x v="14"/>
    <n v="9"/>
    <n v="250"/>
    <n v="0.15"/>
    <n v="1912.5"/>
    <n v="1170"/>
    <n v="742.5"/>
    <x v="2"/>
    <s v="Rohan"/>
    <s v="Corporate"/>
    <n v="0.38823529411764707"/>
    <s v="Good Profit"/>
    <s v="Normal"/>
  </r>
  <r>
    <s v="ORD0105"/>
    <d v="2025-12-21T00:00:00"/>
    <x v="2"/>
    <x v="8"/>
    <x v="2"/>
    <x v="11"/>
    <n v="6"/>
    <n v="450"/>
    <n v="0.2"/>
    <n v="2160"/>
    <n v="1440"/>
    <n v="720"/>
    <x v="4"/>
    <s v="Diya"/>
    <s v="Returning"/>
    <n v="0.33333333333333331"/>
    <s v="Good Profit"/>
    <s v="Normal"/>
  </r>
  <r>
    <s v="ORD0106"/>
    <d v="2025-01-19T00:00:00"/>
    <x v="1"/>
    <x v="5"/>
    <x v="0"/>
    <x v="7"/>
    <n v="8"/>
    <n v="8900"/>
    <n v="0.2"/>
    <n v="56960"/>
    <n v="51200"/>
    <n v="5760"/>
    <x v="1"/>
    <s v="Diya"/>
    <s v="New"/>
    <n v="0.10112359550561797"/>
    <s v="Good Profit"/>
    <s v="High Value"/>
  </r>
  <r>
    <s v="ORD0107"/>
    <d v="2025-11-21T00:00:00"/>
    <x v="3"/>
    <x v="3"/>
    <x v="0"/>
    <x v="5"/>
    <n v="7"/>
    <n v="6200"/>
    <n v="0"/>
    <n v="43400"/>
    <n v="30100"/>
    <n v="13300"/>
    <x v="0"/>
    <s v="Sara"/>
    <s v="New"/>
    <n v="0.30645161290322581"/>
    <s v="Good Profit"/>
    <s v="High Value"/>
  </r>
  <r>
    <s v="ORD0108"/>
    <d v="2025-07-03T00:00:00"/>
    <x v="3"/>
    <x v="4"/>
    <x v="1"/>
    <x v="3"/>
    <n v="1"/>
    <n v="1800"/>
    <n v="0.1"/>
    <n v="1620"/>
    <n v="1150"/>
    <n v="470"/>
    <x v="3"/>
    <s v="Rohan"/>
    <s v="New"/>
    <n v="0.29012345679012347"/>
    <s v="Low Profit"/>
    <s v="Normal"/>
  </r>
  <r>
    <s v="ORD0109"/>
    <d v="2025-03-31T00:00:00"/>
    <x v="2"/>
    <x v="2"/>
    <x v="0"/>
    <x v="7"/>
    <n v="3"/>
    <n v="8900"/>
    <n v="0.05"/>
    <n v="25365"/>
    <n v="19200"/>
    <n v="6165"/>
    <x v="0"/>
    <s v="Rohan"/>
    <s v="Corporate"/>
    <n v="0.24305144884683619"/>
    <s v="Good Profit"/>
    <s v="High Value"/>
  </r>
  <r>
    <s v="ORD0110"/>
    <d v="2025-11-23T00:00:00"/>
    <x v="2"/>
    <x v="2"/>
    <x v="0"/>
    <x v="12"/>
    <n v="4"/>
    <n v="7800"/>
    <n v="0.15"/>
    <n v="26520"/>
    <n v="22000"/>
    <n v="4520"/>
    <x v="3"/>
    <s v="Sara"/>
    <s v="Returning"/>
    <n v="0.17043740573152338"/>
    <s v="Good Profit"/>
    <s v="High Value"/>
  </r>
  <r>
    <s v="ORD0111"/>
    <d v="2025-02-07T00:00:00"/>
    <x v="0"/>
    <x v="12"/>
    <x v="2"/>
    <x v="6"/>
    <n v="9"/>
    <n v="90"/>
    <n v="0.05"/>
    <n v="769.5"/>
    <n v="360"/>
    <n v="409.5"/>
    <x v="4"/>
    <s v="Ananya"/>
    <s v="Corporate"/>
    <n v="0.53216374269005851"/>
    <s v="Low Profit"/>
    <s v="Normal"/>
  </r>
  <r>
    <s v="ORD0112"/>
    <d v="2025-04-12T00:00:00"/>
    <x v="3"/>
    <x v="10"/>
    <x v="0"/>
    <x v="0"/>
    <n v="8"/>
    <n v="5400"/>
    <n v="0.1"/>
    <n v="38880"/>
    <n v="28800"/>
    <n v="10080"/>
    <x v="4"/>
    <s v="Sara"/>
    <s v="New"/>
    <n v="0.25925925925925924"/>
    <s v="Good Profit"/>
    <s v="High Value"/>
  </r>
  <r>
    <s v="ORD0113"/>
    <d v="2025-12-25T00:00:00"/>
    <x v="2"/>
    <x v="2"/>
    <x v="0"/>
    <x v="0"/>
    <n v="10"/>
    <n v="5400"/>
    <n v="0.1"/>
    <n v="48600"/>
    <n v="36000"/>
    <n v="12600"/>
    <x v="3"/>
    <s v="Aarav"/>
    <s v="Corporate"/>
    <n v="0.25925925925925924"/>
    <s v="Good Profit"/>
    <s v="High Value"/>
  </r>
  <r>
    <s v="ORD0114"/>
    <d v="2025-11-07T00:00:00"/>
    <x v="1"/>
    <x v="5"/>
    <x v="1"/>
    <x v="15"/>
    <n v="11"/>
    <n v="9500"/>
    <n v="0"/>
    <n v="104500"/>
    <n v="79200"/>
    <n v="25300"/>
    <x v="4"/>
    <s v="Kabir"/>
    <s v="New"/>
    <n v="0.24210526315789474"/>
    <s v="Good Profit"/>
    <s v="High Value"/>
  </r>
  <r>
    <s v="ORD0115"/>
    <d v="2025-12-14T00:00:00"/>
    <x v="3"/>
    <x v="3"/>
    <x v="0"/>
    <x v="12"/>
    <n v="10"/>
    <n v="7800"/>
    <n v="0.1"/>
    <n v="70200"/>
    <n v="55000"/>
    <n v="15200"/>
    <x v="2"/>
    <s v="Diya"/>
    <s v="Corporate"/>
    <n v="0.21652421652421652"/>
    <s v="Good Profit"/>
    <s v="High Value"/>
  </r>
  <r>
    <s v="ORD0116"/>
    <d v="2025-03-09T00:00:00"/>
    <x v="0"/>
    <x v="14"/>
    <x v="2"/>
    <x v="14"/>
    <n v="10"/>
    <n v="250"/>
    <n v="0.1"/>
    <n v="2250"/>
    <n v="1300"/>
    <n v="950"/>
    <x v="0"/>
    <s v="Kabir"/>
    <s v="Returning"/>
    <n v="0.42222222222222222"/>
    <s v="Good Profit"/>
    <s v="Normal"/>
  </r>
  <r>
    <s v="ORD0117"/>
    <d v="2025-09-29T00:00:00"/>
    <x v="1"/>
    <x v="7"/>
    <x v="1"/>
    <x v="9"/>
    <n v="9"/>
    <n v="950"/>
    <n v="0.1"/>
    <n v="7695"/>
    <n v="5130"/>
    <n v="2565"/>
    <x v="1"/>
    <s v="Kabir"/>
    <s v="New"/>
    <n v="0.33333333333333331"/>
    <s v="Good Profit"/>
    <s v="High Value"/>
  </r>
  <r>
    <s v="ORD0118"/>
    <d v="2025-08-28T00:00:00"/>
    <x v="3"/>
    <x v="10"/>
    <x v="2"/>
    <x v="6"/>
    <n v="6"/>
    <n v="90"/>
    <n v="0"/>
    <n v="540"/>
    <n v="240"/>
    <n v="300"/>
    <x v="0"/>
    <s v="Ishaan"/>
    <s v="New"/>
    <n v="0.55555555555555558"/>
    <s v="Low Profit"/>
    <s v="Normal"/>
  </r>
  <r>
    <s v="ORD0119"/>
    <d v="2025-10-02T00:00:00"/>
    <x v="1"/>
    <x v="5"/>
    <x v="1"/>
    <x v="2"/>
    <n v="1"/>
    <n v="550"/>
    <n v="0.1"/>
    <n v="495"/>
    <n v="300"/>
    <n v="195"/>
    <x v="0"/>
    <s v="Sara"/>
    <s v="Returning"/>
    <n v="0.39393939393939392"/>
    <s v="Low Profit"/>
    <s v="Normal"/>
  </r>
  <r>
    <s v="ORD0120"/>
    <d v="2025-08-30T00:00:00"/>
    <x v="3"/>
    <x v="10"/>
    <x v="0"/>
    <x v="0"/>
    <n v="2"/>
    <n v="5400"/>
    <n v="0.05"/>
    <n v="10260"/>
    <n v="7200"/>
    <n v="3060"/>
    <x v="0"/>
    <s v="Ananya"/>
    <s v="Corporate"/>
    <n v="0.2982456140350877"/>
    <s v="Good Profit"/>
    <s v="High Value"/>
  </r>
  <r>
    <s v="ORD0121"/>
    <d v="2025-11-29T00:00:00"/>
    <x v="2"/>
    <x v="8"/>
    <x v="0"/>
    <x v="4"/>
    <n v="12"/>
    <n v="950"/>
    <n v="0.1"/>
    <n v="10260"/>
    <n v="6240"/>
    <n v="4020"/>
    <x v="4"/>
    <s v="Diya"/>
    <s v="New"/>
    <n v="0.391812865497076"/>
    <s v="Good Profit"/>
    <s v="High Value"/>
  </r>
  <r>
    <s v="ORD0122"/>
    <d v="2025-05-01T00:00:00"/>
    <x v="0"/>
    <x v="0"/>
    <x v="2"/>
    <x v="16"/>
    <n v="2"/>
    <n v="380"/>
    <n v="0"/>
    <n v="760"/>
    <n v="500"/>
    <n v="260"/>
    <x v="1"/>
    <s v="Ishaan"/>
    <s v="Returning"/>
    <n v="0.34210526315789475"/>
    <s v="Low Profit"/>
    <s v="Normal"/>
  </r>
  <r>
    <s v="ORD0123"/>
    <d v="2025-08-03T00:00:00"/>
    <x v="1"/>
    <x v="5"/>
    <x v="0"/>
    <x v="7"/>
    <n v="12"/>
    <n v="8900"/>
    <n v="0.2"/>
    <n v="85440"/>
    <n v="76800"/>
    <n v="8640"/>
    <x v="1"/>
    <s v="Ishaan"/>
    <s v="Returning"/>
    <n v="0.10112359550561797"/>
    <s v="Good Profit"/>
    <s v="High Value"/>
  </r>
  <r>
    <s v="ORD0124"/>
    <d v="2025-12-20T00:00:00"/>
    <x v="0"/>
    <x v="12"/>
    <x v="0"/>
    <x v="4"/>
    <n v="5"/>
    <n v="950"/>
    <n v="0"/>
    <n v="4750"/>
    <n v="2600"/>
    <n v="2150"/>
    <x v="3"/>
    <s v="Meera"/>
    <s v="Returning"/>
    <n v="0.45263157894736844"/>
    <s v="Good Profit"/>
    <s v="Normal"/>
  </r>
  <r>
    <s v="ORD0125"/>
    <d v="2025-10-06T00:00:00"/>
    <x v="1"/>
    <x v="7"/>
    <x v="2"/>
    <x v="14"/>
    <n v="11"/>
    <n v="250"/>
    <n v="0.1"/>
    <n v="2475"/>
    <n v="1430"/>
    <n v="1045"/>
    <x v="3"/>
    <s v="Aarav"/>
    <s v="Returning"/>
    <n v="0.42222222222222222"/>
    <s v="Good Profit"/>
    <s v="Normal"/>
  </r>
  <r>
    <s v="ORD0126"/>
    <d v="2025-11-25T00:00:00"/>
    <x v="3"/>
    <x v="3"/>
    <x v="1"/>
    <x v="2"/>
    <n v="2"/>
    <n v="550"/>
    <n v="0.05"/>
    <n v="1045"/>
    <n v="600"/>
    <n v="445"/>
    <x v="1"/>
    <s v="Aarav"/>
    <s v="New"/>
    <n v="0.42583732057416268"/>
    <s v="Low Profit"/>
    <s v="Normal"/>
  </r>
  <r>
    <s v="ORD0127"/>
    <d v="2025-10-11T00:00:00"/>
    <x v="3"/>
    <x v="3"/>
    <x v="1"/>
    <x v="15"/>
    <n v="4"/>
    <n v="9500"/>
    <n v="0"/>
    <n v="38000"/>
    <n v="28800"/>
    <n v="9200"/>
    <x v="2"/>
    <s v="Meera"/>
    <s v="New"/>
    <n v="0.24210526315789474"/>
    <s v="Good Profit"/>
    <s v="High Value"/>
  </r>
  <r>
    <s v="ORD0128"/>
    <d v="2025-03-08T00:00:00"/>
    <x v="3"/>
    <x v="3"/>
    <x v="0"/>
    <x v="5"/>
    <n v="5"/>
    <n v="6200"/>
    <n v="0.05"/>
    <n v="29450"/>
    <n v="21500"/>
    <n v="7950"/>
    <x v="1"/>
    <s v="Kabir"/>
    <s v="New"/>
    <n v="0.2699490662139219"/>
    <s v="Good Profit"/>
    <s v="High Value"/>
  </r>
  <r>
    <s v="ORD0129"/>
    <d v="2025-10-29T00:00:00"/>
    <x v="0"/>
    <x v="0"/>
    <x v="1"/>
    <x v="1"/>
    <n v="6"/>
    <n v="650"/>
    <n v="0.05"/>
    <n v="3705"/>
    <n v="2280"/>
    <n v="1425"/>
    <x v="3"/>
    <s v="Aarav"/>
    <s v="New"/>
    <n v="0.38461538461538464"/>
    <s v="Good Profit"/>
    <s v="Normal"/>
  </r>
  <r>
    <s v="ORD0130"/>
    <d v="2025-02-28T00:00:00"/>
    <x v="3"/>
    <x v="4"/>
    <x v="1"/>
    <x v="13"/>
    <n v="7"/>
    <n v="1200"/>
    <n v="0.2"/>
    <n v="6720"/>
    <n v="4900"/>
    <n v="1820"/>
    <x v="0"/>
    <s v="Sara"/>
    <s v="Returning"/>
    <n v="0.27083333333333331"/>
    <s v="Good Profit"/>
    <s v="High Value"/>
  </r>
  <r>
    <s v="ORD0131"/>
    <d v="2025-01-23T00:00:00"/>
    <x v="3"/>
    <x v="4"/>
    <x v="2"/>
    <x v="17"/>
    <n v="4"/>
    <n v="180"/>
    <n v="0.2"/>
    <n v="576"/>
    <n v="360"/>
    <n v="216"/>
    <x v="1"/>
    <s v="Kabir"/>
    <s v="Returning"/>
    <n v="0.375"/>
    <s v="Low Profit"/>
    <s v="Normal"/>
  </r>
  <r>
    <s v="ORD0132"/>
    <d v="2025-09-09T00:00:00"/>
    <x v="0"/>
    <x v="0"/>
    <x v="2"/>
    <x v="16"/>
    <n v="7"/>
    <n v="380"/>
    <n v="0"/>
    <n v="2660"/>
    <n v="1750"/>
    <n v="910"/>
    <x v="4"/>
    <s v="Diya"/>
    <s v="New"/>
    <n v="0.34210526315789475"/>
    <s v="Good Profit"/>
    <s v="Normal"/>
  </r>
  <r>
    <s v="ORD0133"/>
    <d v="2025-11-21T00:00:00"/>
    <x v="3"/>
    <x v="3"/>
    <x v="1"/>
    <x v="9"/>
    <n v="5"/>
    <n v="950"/>
    <n v="0.2"/>
    <n v="3800"/>
    <n v="2850"/>
    <n v="950"/>
    <x v="1"/>
    <s v="Ananya"/>
    <s v="Returning"/>
    <n v="0.25"/>
    <s v="Good Profit"/>
    <s v="Normal"/>
  </r>
  <r>
    <s v="ORD0134"/>
    <d v="2025-12-26T00:00:00"/>
    <x v="3"/>
    <x v="10"/>
    <x v="0"/>
    <x v="10"/>
    <n v="7"/>
    <n v="1600"/>
    <n v="0"/>
    <n v="11200"/>
    <n v="6650"/>
    <n v="4550"/>
    <x v="0"/>
    <s v="Meera"/>
    <s v="Returning"/>
    <n v="0.40625"/>
    <s v="Good Profit"/>
    <s v="High Value"/>
  </r>
  <r>
    <s v="ORD0135"/>
    <d v="2025-08-01T00:00:00"/>
    <x v="1"/>
    <x v="7"/>
    <x v="2"/>
    <x v="11"/>
    <n v="8"/>
    <n v="450"/>
    <n v="0.15"/>
    <n v="3060"/>
    <n v="1920"/>
    <n v="1140"/>
    <x v="0"/>
    <s v="Ananya"/>
    <s v="Returning"/>
    <n v="0.37254901960784315"/>
    <s v="Good Profit"/>
    <s v="Normal"/>
  </r>
  <r>
    <s v="ORD0136"/>
    <d v="2025-02-04T00:00:00"/>
    <x v="3"/>
    <x v="15"/>
    <x v="2"/>
    <x v="8"/>
    <n v="11"/>
    <n v="120"/>
    <n v="0.15"/>
    <n v="1122"/>
    <n v="605"/>
    <n v="517"/>
    <x v="0"/>
    <s v="Diya"/>
    <s v="New"/>
    <n v="0.46078431372549017"/>
    <s v="Good Profit"/>
    <s v="Normal"/>
  </r>
  <r>
    <s v="ORD0137"/>
    <d v="2025-10-12T00:00:00"/>
    <x v="1"/>
    <x v="1"/>
    <x v="0"/>
    <x v="7"/>
    <n v="6"/>
    <n v="8900"/>
    <n v="0.05"/>
    <n v="50730"/>
    <n v="38400"/>
    <n v="12330"/>
    <x v="0"/>
    <s v="Ananya"/>
    <s v="Corporate"/>
    <n v="0.24305144884683619"/>
    <s v="Good Profit"/>
    <s v="High Value"/>
  </r>
  <r>
    <s v="ORD0138"/>
    <d v="2025-05-28T00:00:00"/>
    <x v="0"/>
    <x v="12"/>
    <x v="2"/>
    <x v="6"/>
    <n v="7"/>
    <n v="90"/>
    <n v="0"/>
    <n v="630"/>
    <n v="280"/>
    <n v="350"/>
    <x v="1"/>
    <s v="Kabir"/>
    <s v="Returning"/>
    <n v="0.55555555555555558"/>
    <s v="Low Profit"/>
    <s v="Normal"/>
  </r>
  <r>
    <s v="ORD0139"/>
    <d v="2025-02-25T00:00:00"/>
    <x v="0"/>
    <x v="6"/>
    <x v="1"/>
    <x v="13"/>
    <n v="8"/>
    <n v="1200"/>
    <n v="0.05"/>
    <n v="9120"/>
    <n v="5600"/>
    <n v="3520"/>
    <x v="3"/>
    <s v="Ananya"/>
    <s v="New"/>
    <n v="0.38596491228070173"/>
    <s v="Good Profit"/>
    <s v="High Value"/>
  </r>
  <r>
    <s v="ORD0140"/>
    <d v="2025-12-12T00:00:00"/>
    <x v="3"/>
    <x v="3"/>
    <x v="2"/>
    <x v="17"/>
    <n v="10"/>
    <n v="180"/>
    <n v="0.2"/>
    <n v="1440"/>
    <n v="900"/>
    <n v="540"/>
    <x v="1"/>
    <s v="Aarav"/>
    <s v="Corporate"/>
    <n v="0.375"/>
    <s v="Good Profit"/>
    <s v="Normal"/>
  </r>
  <r>
    <s v="ORD0141"/>
    <d v="2025-06-23T00:00:00"/>
    <x v="3"/>
    <x v="4"/>
    <x v="1"/>
    <x v="3"/>
    <n v="12"/>
    <n v="1800"/>
    <n v="0.1"/>
    <n v="19440"/>
    <n v="13800"/>
    <n v="5640"/>
    <x v="3"/>
    <s v="Aarav"/>
    <s v="New"/>
    <n v="0.29012345679012347"/>
    <s v="Good Profit"/>
    <s v="High Value"/>
  </r>
  <r>
    <s v="ORD0142"/>
    <d v="2025-02-16T00:00:00"/>
    <x v="2"/>
    <x v="2"/>
    <x v="1"/>
    <x v="9"/>
    <n v="12"/>
    <n v="950"/>
    <n v="0"/>
    <n v="11400"/>
    <n v="6840"/>
    <n v="4560"/>
    <x v="1"/>
    <s v="Meera"/>
    <s v="Returning"/>
    <n v="0.4"/>
    <s v="Good Profit"/>
    <s v="High Value"/>
  </r>
  <r>
    <s v="ORD0143"/>
    <d v="2025-06-16T00:00:00"/>
    <x v="1"/>
    <x v="9"/>
    <x v="2"/>
    <x v="8"/>
    <n v="6"/>
    <n v="120"/>
    <n v="0.1"/>
    <n v="648"/>
    <n v="330"/>
    <n v="318"/>
    <x v="1"/>
    <s v="Diya"/>
    <s v="New"/>
    <n v="0.49074074074074076"/>
    <s v="Low Profit"/>
    <s v="Normal"/>
  </r>
  <r>
    <s v="ORD0144"/>
    <d v="2025-05-20T00:00:00"/>
    <x v="2"/>
    <x v="13"/>
    <x v="0"/>
    <x v="5"/>
    <n v="11"/>
    <n v="6200"/>
    <n v="0"/>
    <n v="68200"/>
    <n v="47300"/>
    <n v="20900"/>
    <x v="4"/>
    <s v="Rohan"/>
    <s v="Returning"/>
    <n v="0.30645161290322581"/>
    <s v="Good Profit"/>
    <s v="High Value"/>
  </r>
  <r>
    <s v="ORD0145"/>
    <d v="2025-06-26T00:00:00"/>
    <x v="1"/>
    <x v="9"/>
    <x v="2"/>
    <x v="8"/>
    <n v="9"/>
    <n v="120"/>
    <n v="0"/>
    <n v="1080"/>
    <n v="495"/>
    <n v="585"/>
    <x v="4"/>
    <s v="Diya"/>
    <s v="Returning"/>
    <n v="0.54166666666666663"/>
    <s v="Good Profit"/>
    <s v="Normal"/>
  </r>
  <r>
    <s v="ORD0146"/>
    <d v="2025-01-29T00:00:00"/>
    <x v="1"/>
    <x v="5"/>
    <x v="1"/>
    <x v="9"/>
    <n v="7"/>
    <n v="950"/>
    <n v="0.2"/>
    <n v="5320"/>
    <n v="3990"/>
    <n v="1330"/>
    <x v="0"/>
    <s v="Meera"/>
    <s v="Returning"/>
    <n v="0.25"/>
    <s v="Good Profit"/>
    <s v="High Value"/>
  </r>
  <r>
    <s v="ORD0147"/>
    <d v="2025-01-04T00:00:00"/>
    <x v="2"/>
    <x v="13"/>
    <x v="2"/>
    <x v="11"/>
    <n v="6"/>
    <n v="450"/>
    <n v="0"/>
    <n v="2700"/>
    <n v="1440"/>
    <n v="1260"/>
    <x v="4"/>
    <s v="Rohan"/>
    <s v="New"/>
    <n v="0.46666666666666667"/>
    <s v="Good Profit"/>
    <s v="Normal"/>
  </r>
  <r>
    <s v="ORD0148"/>
    <d v="2025-10-14T00:00:00"/>
    <x v="2"/>
    <x v="2"/>
    <x v="0"/>
    <x v="7"/>
    <n v="4"/>
    <n v="8900"/>
    <n v="0.2"/>
    <n v="28480"/>
    <n v="25600"/>
    <n v="2880"/>
    <x v="3"/>
    <s v="Diya"/>
    <s v="Returning"/>
    <n v="0.10112359550561797"/>
    <s v="Good Profit"/>
    <s v="High Value"/>
  </r>
  <r>
    <s v="ORD0149"/>
    <d v="2025-10-22T00:00:00"/>
    <x v="0"/>
    <x v="12"/>
    <x v="1"/>
    <x v="2"/>
    <n v="2"/>
    <n v="550"/>
    <n v="0.1"/>
    <n v="990"/>
    <n v="600"/>
    <n v="390"/>
    <x v="4"/>
    <s v="Rohan"/>
    <s v="Corporate"/>
    <n v="0.39393939393939392"/>
    <s v="Low Profit"/>
    <s v="Normal"/>
  </r>
  <r>
    <s v="ORD0150"/>
    <d v="2025-03-29T00:00:00"/>
    <x v="1"/>
    <x v="5"/>
    <x v="1"/>
    <x v="2"/>
    <n v="1"/>
    <n v="550"/>
    <n v="0.1"/>
    <n v="495"/>
    <n v="300"/>
    <n v="195"/>
    <x v="1"/>
    <s v="Sara"/>
    <s v="Corporate"/>
    <n v="0.39393939393939392"/>
    <s v="Low Profit"/>
    <s v="Normal"/>
  </r>
  <r>
    <s v="ORD0151"/>
    <d v="2025-10-29T00:00:00"/>
    <x v="3"/>
    <x v="4"/>
    <x v="2"/>
    <x v="14"/>
    <n v="4"/>
    <n v="250"/>
    <n v="0.15"/>
    <n v="850"/>
    <n v="520"/>
    <n v="330"/>
    <x v="4"/>
    <s v="Diya"/>
    <s v="Returning"/>
    <n v="0.38823529411764707"/>
    <s v="Low Profit"/>
    <s v="Normal"/>
  </r>
  <r>
    <s v="ORD0152"/>
    <d v="2025-09-19T00:00:00"/>
    <x v="3"/>
    <x v="15"/>
    <x v="1"/>
    <x v="3"/>
    <n v="3"/>
    <n v="1800"/>
    <n v="0"/>
    <n v="5400"/>
    <n v="3450"/>
    <n v="1950"/>
    <x v="0"/>
    <s v="Meera"/>
    <s v="Returning"/>
    <n v="0.3611111111111111"/>
    <s v="Good Profit"/>
    <s v="High Value"/>
  </r>
  <r>
    <s v="ORD0153"/>
    <d v="2025-04-12T00:00:00"/>
    <x v="3"/>
    <x v="3"/>
    <x v="1"/>
    <x v="1"/>
    <n v="3"/>
    <n v="650"/>
    <n v="0.1"/>
    <n v="1755"/>
    <n v="1140"/>
    <n v="615"/>
    <x v="2"/>
    <s v="Ishaan"/>
    <s v="Corporate"/>
    <n v="0.3504273504273504"/>
    <s v="Good Profit"/>
    <s v="Normal"/>
  </r>
  <r>
    <s v="ORD0154"/>
    <d v="2025-10-24T00:00:00"/>
    <x v="0"/>
    <x v="6"/>
    <x v="0"/>
    <x v="4"/>
    <n v="8"/>
    <n v="950"/>
    <n v="0.2"/>
    <n v="6080"/>
    <n v="4160"/>
    <n v="1920"/>
    <x v="4"/>
    <s v="Ananya"/>
    <s v="Corporate"/>
    <n v="0.31578947368421051"/>
    <s v="Good Profit"/>
    <s v="High Value"/>
  </r>
  <r>
    <s v="ORD0155"/>
    <d v="2025-11-20T00:00:00"/>
    <x v="3"/>
    <x v="3"/>
    <x v="2"/>
    <x v="14"/>
    <n v="8"/>
    <n v="250"/>
    <n v="0.15"/>
    <n v="1700"/>
    <n v="1040"/>
    <n v="660"/>
    <x v="3"/>
    <s v="Kabir"/>
    <s v="Corporate"/>
    <n v="0.38823529411764707"/>
    <s v="Good Profit"/>
    <s v="Normal"/>
  </r>
  <r>
    <s v="ORD0156"/>
    <d v="2025-08-20T00:00:00"/>
    <x v="0"/>
    <x v="14"/>
    <x v="0"/>
    <x v="5"/>
    <n v="5"/>
    <n v="6200"/>
    <n v="0.15"/>
    <n v="26350"/>
    <n v="21500"/>
    <n v="4850"/>
    <x v="0"/>
    <s v="Aarav"/>
    <s v="Returning"/>
    <n v="0.18406072106261859"/>
    <s v="Good Profit"/>
    <s v="High Value"/>
  </r>
  <r>
    <s v="ORD0157"/>
    <d v="2025-09-17T00:00:00"/>
    <x v="3"/>
    <x v="4"/>
    <x v="0"/>
    <x v="5"/>
    <n v="10"/>
    <n v="6200"/>
    <n v="0.2"/>
    <n v="49600"/>
    <n v="43000"/>
    <n v="6600"/>
    <x v="4"/>
    <s v="Sara"/>
    <s v="Corporate"/>
    <n v="0.13306451612903225"/>
    <s v="Good Profit"/>
    <s v="High Value"/>
  </r>
  <r>
    <s v="ORD0158"/>
    <d v="2025-11-06T00:00:00"/>
    <x v="0"/>
    <x v="12"/>
    <x v="0"/>
    <x v="7"/>
    <n v="4"/>
    <n v="8900"/>
    <n v="0.1"/>
    <n v="32040"/>
    <n v="25600"/>
    <n v="6440"/>
    <x v="4"/>
    <s v="Ishaan"/>
    <s v="New"/>
    <n v="0.2009987515605493"/>
    <s v="Good Profit"/>
    <s v="High Value"/>
  </r>
  <r>
    <s v="ORD0159"/>
    <d v="2025-11-27T00:00:00"/>
    <x v="1"/>
    <x v="1"/>
    <x v="2"/>
    <x v="6"/>
    <n v="2"/>
    <n v="90"/>
    <n v="0.2"/>
    <n v="144"/>
    <n v="80"/>
    <n v="64"/>
    <x v="2"/>
    <s v="Aarav"/>
    <s v="New"/>
    <n v="0.44444444444444442"/>
    <s v="Low Profit"/>
    <s v="Normal"/>
  </r>
  <r>
    <s v="ORD0160"/>
    <d v="2025-07-06T00:00:00"/>
    <x v="1"/>
    <x v="9"/>
    <x v="0"/>
    <x v="10"/>
    <n v="10"/>
    <n v="1600"/>
    <n v="0.05"/>
    <n v="15200"/>
    <n v="9500"/>
    <n v="5700"/>
    <x v="3"/>
    <s v="Kabir"/>
    <s v="Returning"/>
    <n v="0.375"/>
    <s v="Good Profit"/>
    <s v="High Value"/>
  </r>
  <r>
    <s v="ORD0161"/>
    <d v="2025-02-03T00:00:00"/>
    <x v="1"/>
    <x v="5"/>
    <x v="0"/>
    <x v="10"/>
    <n v="1"/>
    <n v="1600"/>
    <n v="0.1"/>
    <n v="1440"/>
    <n v="950"/>
    <n v="490"/>
    <x v="3"/>
    <s v="Diya"/>
    <s v="Corporate"/>
    <n v="0.34027777777777779"/>
    <s v="Low Profit"/>
    <s v="Normal"/>
  </r>
  <r>
    <s v="ORD0162"/>
    <d v="2025-03-18T00:00:00"/>
    <x v="1"/>
    <x v="5"/>
    <x v="2"/>
    <x v="6"/>
    <n v="11"/>
    <n v="90"/>
    <n v="0.2"/>
    <n v="792"/>
    <n v="440"/>
    <n v="352"/>
    <x v="3"/>
    <s v="Diya"/>
    <s v="Corporate"/>
    <n v="0.44444444444444442"/>
    <s v="Low Profit"/>
    <s v="Normal"/>
  </r>
  <r>
    <s v="ORD0163"/>
    <d v="2025-03-08T00:00:00"/>
    <x v="2"/>
    <x v="11"/>
    <x v="2"/>
    <x v="6"/>
    <n v="12"/>
    <n v="90"/>
    <n v="0.15"/>
    <n v="918"/>
    <n v="480"/>
    <n v="438"/>
    <x v="1"/>
    <s v="Diya"/>
    <s v="Returning"/>
    <n v="0.47712418300653597"/>
    <s v="Low Profit"/>
    <s v="Normal"/>
  </r>
  <r>
    <s v="ORD0164"/>
    <d v="2025-02-17T00:00:00"/>
    <x v="1"/>
    <x v="5"/>
    <x v="1"/>
    <x v="13"/>
    <n v="12"/>
    <n v="1200"/>
    <n v="0.2"/>
    <n v="11520"/>
    <n v="8400"/>
    <n v="3120"/>
    <x v="4"/>
    <s v="Ananya"/>
    <s v="New"/>
    <n v="0.27083333333333331"/>
    <s v="Good Profit"/>
    <s v="High Value"/>
  </r>
  <r>
    <s v="ORD0165"/>
    <d v="2025-04-09T00:00:00"/>
    <x v="3"/>
    <x v="15"/>
    <x v="1"/>
    <x v="9"/>
    <n v="6"/>
    <n v="950"/>
    <n v="0.15"/>
    <n v="4845"/>
    <n v="3420"/>
    <n v="1425"/>
    <x v="2"/>
    <s v="Ishaan"/>
    <s v="New"/>
    <n v="0.29411764705882354"/>
    <s v="Good Profit"/>
    <s v="Normal"/>
  </r>
  <r>
    <s v="ORD0166"/>
    <d v="2025-01-20T00:00:00"/>
    <x v="0"/>
    <x v="14"/>
    <x v="1"/>
    <x v="15"/>
    <n v="9"/>
    <n v="9500"/>
    <n v="0.2"/>
    <n v="68400"/>
    <n v="64800"/>
    <n v="3600"/>
    <x v="3"/>
    <s v="Ishaan"/>
    <s v="Corporate"/>
    <n v="5.2631578947368418E-2"/>
    <s v="Good Profit"/>
    <s v="High Value"/>
  </r>
  <r>
    <s v="ORD0167"/>
    <d v="2025-03-26T00:00:00"/>
    <x v="1"/>
    <x v="7"/>
    <x v="1"/>
    <x v="9"/>
    <n v="12"/>
    <n v="950"/>
    <n v="0.2"/>
    <n v="9120"/>
    <n v="6840"/>
    <n v="2280"/>
    <x v="4"/>
    <s v="Aarav"/>
    <s v="Returning"/>
    <n v="0.25"/>
    <s v="Good Profit"/>
    <s v="High Value"/>
  </r>
  <r>
    <s v="ORD0168"/>
    <d v="2025-04-30T00:00:00"/>
    <x v="3"/>
    <x v="3"/>
    <x v="2"/>
    <x v="17"/>
    <n v="5"/>
    <n v="180"/>
    <n v="0.15"/>
    <n v="765"/>
    <n v="450"/>
    <n v="315"/>
    <x v="1"/>
    <s v="Meera"/>
    <s v="Returning"/>
    <n v="0.41176470588235292"/>
    <s v="Low Profit"/>
    <s v="Normal"/>
  </r>
  <r>
    <s v="ORD0169"/>
    <d v="2025-08-25T00:00:00"/>
    <x v="1"/>
    <x v="7"/>
    <x v="2"/>
    <x v="6"/>
    <n v="10"/>
    <n v="90"/>
    <n v="0.15"/>
    <n v="765"/>
    <n v="400"/>
    <n v="365"/>
    <x v="3"/>
    <s v="Rohan"/>
    <s v="Corporate"/>
    <n v="0.47712418300653597"/>
    <s v="Low Profit"/>
    <s v="Normal"/>
  </r>
  <r>
    <s v="ORD0170"/>
    <d v="2025-01-27T00:00:00"/>
    <x v="1"/>
    <x v="7"/>
    <x v="1"/>
    <x v="15"/>
    <n v="3"/>
    <n v="9500"/>
    <n v="0.1"/>
    <n v="25650"/>
    <n v="21600"/>
    <n v="4050"/>
    <x v="4"/>
    <s v="Ananya"/>
    <s v="Corporate"/>
    <n v="0.15789473684210525"/>
    <s v="Good Profit"/>
    <s v="High Value"/>
  </r>
  <r>
    <s v="ORD0171"/>
    <d v="2025-08-19T00:00:00"/>
    <x v="0"/>
    <x v="0"/>
    <x v="2"/>
    <x v="14"/>
    <n v="3"/>
    <n v="250"/>
    <n v="0.1"/>
    <n v="675"/>
    <n v="390"/>
    <n v="285"/>
    <x v="1"/>
    <s v="Ishaan"/>
    <s v="Returning"/>
    <n v="0.42222222222222222"/>
    <s v="Low Profit"/>
    <s v="Normal"/>
  </r>
  <r>
    <s v="ORD0172"/>
    <d v="2025-01-28T00:00:00"/>
    <x v="0"/>
    <x v="6"/>
    <x v="2"/>
    <x v="11"/>
    <n v="1"/>
    <n v="450"/>
    <n v="0.15"/>
    <n v="382.5"/>
    <n v="240"/>
    <n v="142.5"/>
    <x v="4"/>
    <s v="Ananya"/>
    <s v="New"/>
    <n v="0.37254901960784315"/>
    <s v="Low Profit"/>
    <s v="Normal"/>
  </r>
  <r>
    <s v="ORD0173"/>
    <d v="2025-02-20T00:00:00"/>
    <x v="1"/>
    <x v="1"/>
    <x v="2"/>
    <x v="8"/>
    <n v="1"/>
    <n v="120"/>
    <n v="0.1"/>
    <n v="108"/>
    <n v="55"/>
    <n v="53"/>
    <x v="3"/>
    <s v="Ishaan"/>
    <s v="New"/>
    <n v="0.49074074074074076"/>
    <s v="Low Profit"/>
    <s v="Normal"/>
  </r>
  <r>
    <s v="ORD0174"/>
    <d v="2025-08-18T00:00:00"/>
    <x v="0"/>
    <x v="14"/>
    <x v="2"/>
    <x v="6"/>
    <n v="3"/>
    <n v="90"/>
    <n v="0.15"/>
    <n v="229.5"/>
    <n v="120"/>
    <n v="109.5"/>
    <x v="1"/>
    <s v="Aarav"/>
    <s v="New"/>
    <n v="0.47712418300653597"/>
    <s v="Low Profit"/>
    <s v="Normal"/>
  </r>
  <r>
    <s v="ORD0175"/>
    <d v="2025-09-28T00:00:00"/>
    <x v="0"/>
    <x v="14"/>
    <x v="1"/>
    <x v="9"/>
    <n v="9"/>
    <n v="950"/>
    <n v="0.2"/>
    <n v="6840"/>
    <n v="5130"/>
    <n v="1710"/>
    <x v="4"/>
    <s v="Diya"/>
    <s v="Returning"/>
    <n v="0.25"/>
    <s v="Good Profit"/>
    <s v="High Value"/>
  </r>
  <r>
    <s v="ORD0176"/>
    <d v="2025-11-24T00:00:00"/>
    <x v="2"/>
    <x v="11"/>
    <x v="1"/>
    <x v="1"/>
    <n v="4"/>
    <n v="650"/>
    <n v="0.15"/>
    <n v="2210"/>
    <n v="1520"/>
    <n v="690"/>
    <x v="1"/>
    <s v="Sara"/>
    <s v="New"/>
    <n v="0.31221719457013575"/>
    <s v="Good Profit"/>
    <s v="Normal"/>
  </r>
  <r>
    <s v="ORD0177"/>
    <d v="2025-10-22T00:00:00"/>
    <x v="0"/>
    <x v="12"/>
    <x v="0"/>
    <x v="10"/>
    <n v="1"/>
    <n v="1600"/>
    <n v="0.2"/>
    <n v="1280"/>
    <n v="950"/>
    <n v="330"/>
    <x v="2"/>
    <s v="Ishaan"/>
    <s v="Returning"/>
    <n v="0.2578125"/>
    <s v="Low Profit"/>
    <s v="Normal"/>
  </r>
  <r>
    <s v="ORD0178"/>
    <d v="2025-08-02T00:00:00"/>
    <x v="1"/>
    <x v="1"/>
    <x v="0"/>
    <x v="0"/>
    <n v="4"/>
    <n v="5400"/>
    <n v="0.2"/>
    <n v="17280"/>
    <n v="14400"/>
    <n v="2880"/>
    <x v="2"/>
    <s v="Diya"/>
    <s v="Corporate"/>
    <n v="0.16666666666666666"/>
    <s v="Good Profit"/>
    <s v="High Value"/>
  </r>
  <r>
    <s v="ORD0179"/>
    <d v="2025-10-11T00:00:00"/>
    <x v="3"/>
    <x v="4"/>
    <x v="0"/>
    <x v="10"/>
    <n v="9"/>
    <n v="1600"/>
    <n v="0.2"/>
    <n v="11520"/>
    <n v="8550"/>
    <n v="2970"/>
    <x v="0"/>
    <s v="Rohan"/>
    <s v="Returning"/>
    <n v="0.2578125"/>
    <s v="Good Profit"/>
    <s v="High Value"/>
  </r>
  <r>
    <s v="ORD0180"/>
    <d v="2025-07-02T00:00:00"/>
    <x v="0"/>
    <x v="12"/>
    <x v="2"/>
    <x v="11"/>
    <n v="12"/>
    <n v="450"/>
    <n v="0"/>
    <n v="5400"/>
    <n v="2880"/>
    <n v="2520"/>
    <x v="0"/>
    <s v="Ananya"/>
    <s v="New"/>
    <n v="0.46666666666666667"/>
    <s v="Good Profit"/>
    <s v="High Value"/>
  </r>
  <r>
    <s v="ORD0181"/>
    <d v="2025-06-23T00:00:00"/>
    <x v="0"/>
    <x v="14"/>
    <x v="1"/>
    <x v="1"/>
    <n v="6"/>
    <n v="650"/>
    <n v="0.2"/>
    <n v="3120"/>
    <n v="2280"/>
    <n v="840"/>
    <x v="2"/>
    <s v="Sara"/>
    <s v="Corporate"/>
    <n v="0.26923076923076922"/>
    <s v="Good Profit"/>
    <s v="Normal"/>
  </r>
  <r>
    <s v="ORD0182"/>
    <d v="2025-01-19T00:00:00"/>
    <x v="1"/>
    <x v="7"/>
    <x v="1"/>
    <x v="1"/>
    <n v="12"/>
    <n v="650"/>
    <n v="0.15"/>
    <n v="6630"/>
    <n v="4560"/>
    <n v="2070"/>
    <x v="3"/>
    <s v="Meera"/>
    <s v="New"/>
    <n v="0.31221719457013575"/>
    <s v="Good Profit"/>
    <s v="High Value"/>
  </r>
  <r>
    <s v="ORD0183"/>
    <d v="2025-10-06T00:00:00"/>
    <x v="2"/>
    <x v="8"/>
    <x v="2"/>
    <x v="11"/>
    <n v="9"/>
    <n v="450"/>
    <n v="0.15"/>
    <n v="3442.5"/>
    <n v="2160"/>
    <n v="1282.5"/>
    <x v="4"/>
    <s v="Kabir"/>
    <s v="New"/>
    <n v="0.37254901960784315"/>
    <s v="Good Profit"/>
    <s v="Normal"/>
  </r>
  <r>
    <s v="ORD0184"/>
    <d v="2025-05-20T00:00:00"/>
    <x v="2"/>
    <x v="11"/>
    <x v="2"/>
    <x v="14"/>
    <n v="11"/>
    <n v="250"/>
    <n v="0.1"/>
    <n v="2475"/>
    <n v="1430"/>
    <n v="1045"/>
    <x v="0"/>
    <s v="Ananya"/>
    <s v="Returning"/>
    <n v="0.42222222222222222"/>
    <s v="Good Profit"/>
    <s v="Normal"/>
  </r>
  <r>
    <s v="ORD0185"/>
    <d v="2025-12-21T00:00:00"/>
    <x v="1"/>
    <x v="9"/>
    <x v="2"/>
    <x v="11"/>
    <n v="3"/>
    <n v="450"/>
    <n v="0.15"/>
    <n v="1147.5"/>
    <n v="720"/>
    <n v="427.5"/>
    <x v="4"/>
    <s v="Ananya"/>
    <s v="Corporate"/>
    <n v="0.37254901960784315"/>
    <s v="Low Profit"/>
    <s v="Normal"/>
  </r>
  <r>
    <s v="ORD0186"/>
    <d v="2025-11-05T00:00:00"/>
    <x v="3"/>
    <x v="4"/>
    <x v="0"/>
    <x v="4"/>
    <n v="2"/>
    <n v="950"/>
    <n v="0.15"/>
    <n v="1615"/>
    <n v="1040"/>
    <n v="575"/>
    <x v="2"/>
    <s v="Kabir"/>
    <s v="Returning"/>
    <n v="0.35603715170278638"/>
    <s v="Good Profit"/>
    <s v="Normal"/>
  </r>
  <r>
    <s v="ORD0187"/>
    <d v="2025-08-17T00:00:00"/>
    <x v="0"/>
    <x v="0"/>
    <x v="2"/>
    <x v="6"/>
    <n v="5"/>
    <n v="90"/>
    <n v="0.1"/>
    <n v="405"/>
    <n v="200"/>
    <n v="205"/>
    <x v="1"/>
    <s v="Rohan"/>
    <s v="New"/>
    <n v="0.50617283950617287"/>
    <s v="Low Profit"/>
    <s v="Normal"/>
  </r>
  <r>
    <s v="ORD0188"/>
    <d v="2025-11-11T00:00:00"/>
    <x v="1"/>
    <x v="5"/>
    <x v="2"/>
    <x v="14"/>
    <n v="12"/>
    <n v="250"/>
    <n v="0.1"/>
    <n v="2700"/>
    <n v="1560"/>
    <n v="1140"/>
    <x v="4"/>
    <s v="Kabir"/>
    <s v="Corporate"/>
    <n v="0.42222222222222222"/>
    <s v="Good Profit"/>
    <s v="Normal"/>
  </r>
  <r>
    <s v="ORD0189"/>
    <d v="2025-09-20T00:00:00"/>
    <x v="0"/>
    <x v="0"/>
    <x v="0"/>
    <x v="7"/>
    <n v="7"/>
    <n v="8900"/>
    <n v="0.1"/>
    <n v="56070"/>
    <n v="44800"/>
    <n v="11270"/>
    <x v="2"/>
    <s v="Aarav"/>
    <s v="New"/>
    <n v="0.2009987515605493"/>
    <s v="Good Profit"/>
    <s v="High Value"/>
  </r>
  <r>
    <s v="ORD0190"/>
    <d v="2025-07-05T00:00:00"/>
    <x v="1"/>
    <x v="1"/>
    <x v="1"/>
    <x v="1"/>
    <n v="4"/>
    <n v="650"/>
    <n v="0.1"/>
    <n v="2340"/>
    <n v="1520"/>
    <n v="820"/>
    <x v="4"/>
    <s v="Aarav"/>
    <s v="Corporate"/>
    <n v="0.3504273504273504"/>
    <s v="Good Profit"/>
    <s v="Normal"/>
  </r>
  <r>
    <s v="ORD0191"/>
    <d v="2025-10-21T00:00:00"/>
    <x v="2"/>
    <x v="2"/>
    <x v="2"/>
    <x v="11"/>
    <n v="8"/>
    <n v="450"/>
    <n v="0"/>
    <n v="3600"/>
    <n v="1920"/>
    <n v="1680"/>
    <x v="2"/>
    <s v="Ananya"/>
    <s v="Returning"/>
    <n v="0.46666666666666667"/>
    <s v="Good Profit"/>
    <s v="Normal"/>
  </r>
  <r>
    <s v="ORD0192"/>
    <d v="2025-09-13T00:00:00"/>
    <x v="3"/>
    <x v="15"/>
    <x v="1"/>
    <x v="1"/>
    <n v="1"/>
    <n v="650"/>
    <n v="0.05"/>
    <n v="617.5"/>
    <n v="380"/>
    <n v="237.5"/>
    <x v="1"/>
    <s v="Rohan"/>
    <s v="Corporate"/>
    <n v="0.38461538461538464"/>
    <s v="Low Profit"/>
    <s v="Normal"/>
  </r>
  <r>
    <s v="ORD0193"/>
    <d v="2025-11-10T00:00:00"/>
    <x v="0"/>
    <x v="14"/>
    <x v="2"/>
    <x v="6"/>
    <n v="8"/>
    <n v="90"/>
    <n v="0.05"/>
    <n v="684"/>
    <n v="320"/>
    <n v="364"/>
    <x v="3"/>
    <s v="Sara"/>
    <s v="New"/>
    <n v="0.53216374269005851"/>
    <s v="Low Profit"/>
    <s v="Normal"/>
  </r>
  <r>
    <s v="ORD0194"/>
    <d v="2025-02-14T00:00:00"/>
    <x v="0"/>
    <x v="6"/>
    <x v="1"/>
    <x v="2"/>
    <n v="3"/>
    <n v="550"/>
    <n v="0.15"/>
    <n v="1402.5"/>
    <n v="900"/>
    <n v="502.5"/>
    <x v="3"/>
    <s v="Ananya"/>
    <s v="Corporate"/>
    <n v="0.35828877005347592"/>
    <s v="Good Profit"/>
    <s v="Normal"/>
  </r>
  <r>
    <s v="ORD0195"/>
    <d v="2025-07-05T00:00:00"/>
    <x v="0"/>
    <x v="14"/>
    <x v="2"/>
    <x v="8"/>
    <n v="12"/>
    <n v="120"/>
    <n v="0.05"/>
    <n v="1368"/>
    <n v="660"/>
    <n v="708"/>
    <x v="1"/>
    <s v="Meera"/>
    <s v="New"/>
    <n v="0.51754385964912286"/>
    <s v="Good Profit"/>
    <s v="Normal"/>
  </r>
  <r>
    <s v="ORD0196"/>
    <d v="2025-10-11T00:00:00"/>
    <x v="2"/>
    <x v="13"/>
    <x v="1"/>
    <x v="2"/>
    <n v="1"/>
    <n v="550"/>
    <n v="0.1"/>
    <n v="495"/>
    <n v="300"/>
    <n v="195"/>
    <x v="1"/>
    <s v="Ananya"/>
    <s v="Returning"/>
    <n v="0.39393939393939392"/>
    <s v="Low Profit"/>
    <s v="Normal"/>
  </r>
  <r>
    <s v="ORD0197"/>
    <d v="2025-09-27T00:00:00"/>
    <x v="2"/>
    <x v="8"/>
    <x v="1"/>
    <x v="3"/>
    <n v="7"/>
    <n v="1800"/>
    <n v="0.15"/>
    <n v="10710"/>
    <n v="8050"/>
    <n v="2660"/>
    <x v="4"/>
    <s v="Rohan"/>
    <s v="Corporate"/>
    <n v="0.24836601307189543"/>
    <s v="Good Profit"/>
    <s v="High Value"/>
  </r>
  <r>
    <s v="ORD0198"/>
    <d v="2025-08-27T00:00:00"/>
    <x v="0"/>
    <x v="6"/>
    <x v="2"/>
    <x v="6"/>
    <n v="2"/>
    <n v="90"/>
    <n v="0.15"/>
    <n v="153"/>
    <n v="80"/>
    <n v="73"/>
    <x v="1"/>
    <s v="Ananya"/>
    <s v="New"/>
    <n v="0.47712418300653597"/>
    <s v="Low Profit"/>
    <s v="Normal"/>
  </r>
  <r>
    <s v="ORD0199"/>
    <d v="2025-09-23T00:00:00"/>
    <x v="2"/>
    <x v="13"/>
    <x v="2"/>
    <x v="17"/>
    <n v="1"/>
    <n v="180"/>
    <n v="0"/>
    <n v="180"/>
    <n v="90"/>
    <n v="90"/>
    <x v="2"/>
    <s v="Kabir"/>
    <s v="New"/>
    <n v="0.5"/>
    <s v="Low Profit"/>
    <s v="Normal"/>
  </r>
  <r>
    <s v="ORD0200"/>
    <d v="2025-05-26T00:00:00"/>
    <x v="2"/>
    <x v="11"/>
    <x v="0"/>
    <x v="12"/>
    <n v="6"/>
    <n v="7800"/>
    <n v="0.2"/>
    <n v="37440"/>
    <n v="33000"/>
    <n v="4440"/>
    <x v="0"/>
    <s v="Kabir"/>
    <s v="New"/>
    <n v="0.11858974358974358"/>
    <s v="Good Profit"/>
    <s v="High Value"/>
  </r>
  <r>
    <s v="ORD0201"/>
    <d v="2025-02-17T00:00:00"/>
    <x v="3"/>
    <x v="3"/>
    <x v="0"/>
    <x v="0"/>
    <n v="10"/>
    <n v="5400"/>
    <n v="0.2"/>
    <n v="43200"/>
    <n v="36000"/>
    <n v="7200"/>
    <x v="1"/>
    <s v="Ishaan"/>
    <s v="Corporate"/>
    <n v="0.16666666666666666"/>
    <s v="Good Profit"/>
    <s v="High Value"/>
  </r>
  <r>
    <s v="ORD0202"/>
    <d v="2025-06-22T00:00:00"/>
    <x v="2"/>
    <x v="13"/>
    <x v="0"/>
    <x v="10"/>
    <n v="12"/>
    <n v="1600"/>
    <n v="0.2"/>
    <n v="15360"/>
    <n v="11400"/>
    <n v="3960"/>
    <x v="1"/>
    <s v="Aarav"/>
    <s v="New"/>
    <n v="0.2578125"/>
    <s v="Good Profit"/>
    <s v="High Value"/>
  </r>
  <r>
    <s v="ORD0203"/>
    <d v="2025-10-20T00:00:00"/>
    <x v="0"/>
    <x v="0"/>
    <x v="0"/>
    <x v="10"/>
    <n v="5"/>
    <n v="1600"/>
    <n v="0.05"/>
    <n v="7600"/>
    <n v="4750"/>
    <n v="2850"/>
    <x v="4"/>
    <s v="Aarav"/>
    <s v="Returning"/>
    <n v="0.375"/>
    <s v="Good Profit"/>
    <s v="High Value"/>
  </r>
  <r>
    <s v="ORD0204"/>
    <d v="2025-06-02T00:00:00"/>
    <x v="3"/>
    <x v="15"/>
    <x v="2"/>
    <x v="8"/>
    <n v="11"/>
    <n v="120"/>
    <n v="0.15"/>
    <n v="1122"/>
    <n v="605"/>
    <n v="517"/>
    <x v="4"/>
    <s v="Diya"/>
    <s v="Corporate"/>
    <n v="0.46078431372549017"/>
    <s v="Good Profit"/>
    <s v="Normal"/>
  </r>
  <r>
    <s v="ORD0205"/>
    <d v="2025-04-15T00:00:00"/>
    <x v="0"/>
    <x v="6"/>
    <x v="2"/>
    <x v="16"/>
    <n v="8"/>
    <n v="380"/>
    <n v="0.15"/>
    <n v="2584"/>
    <n v="2000"/>
    <n v="584"/>
    <x v="3"/>
    <s v="Ishaan"/>
    <s v="Returning"/>
    <n v="0.2260061919504644"/>
    <s v="Good Profit"/>
    <s v="Normal"/>
  </r>
  <r>
    <s v="ORD0206"/>
    <d v="2025-10-15T00:00:00"/>
    <x v="3"/>
    <x v="15"/>
    <x v="2"/>
    <x v="8"/>
    <n v="6"/>
    <n v="120"/>
    <n v="0.2"/>
    <n v="576"/>
    <n v="330"/>
    <n v="246"/>
    <x v="0"/>
    <s v="Ananya"/>
    <s v="New"/>
    <n v="0.42708333333333331"/>
    <s v="Low Profit"/>
    <s v="Normal"/>
  </r>
  <r>
    <s v="ORD0207"/>
    <d v="2025-02-19T00:00:00"/>
    <x v="1"/>
    <x v="1"/>
    <x v="2"/>
    <x v="16"/>
    <n v="4"/>
    <n v="380"/>
    <n v="0.05"/>
    <n v="1444"/>
    <n v="1000"/>
    <n v="444"/>
    <x v="0"/>
    <s v="Kabir"/>
    <s v="Returning"/>
    <n v="0.30747922437673131"/>
    <s v="Low Profit"/>
    <s v="Normal"/>
  </r>
  <r>
    <s v="ORD0208"/>
    <d v="2025-04-08T00:00:00"/>
    <x v="1"/>
    <x v="7"/>
    <x v="1"/>
    <x v="3"/>
    <n v="10"/>
    <n v="1800"/>
    <n v="0.1"/>
    <n v="16200"/>
    <n v="11500"/>
    <n v="4700"/>
    <x v="2"/>
    <s v="Sara"/>
    <s v="Corporate"/>
    <n v="0.29012345679012347"/>
    <s v="Good Profit"/>
    <s v="High Value"/>
  </r>
  <r>
    <s v="ORD0209"/>
    <d v="2025-07-21T00:00:00"/>
    <x v="1"/>
    <x v="9"/>
    <x v="2"/>
    <x v="16"/>
    <n v="1"/>
    <n v="380"/>
    <n v="0"/>
    <n v="380"/>
    <n v="250"/>
    <n v="130"/>
    <x v="1"/>
    <s v="Sara"/>
    <s v="New"/>
    <n v="0.34210526315789475"/>
    <s v="Low Profit"/>
    <s v="Normal"/>
  </r>
  <r>
    <s v="ORD0210"/>
    <d v="2025-11-02T00:00:00"/>
    <x v="2"/>
    <x v="11"/>
    <x v="1"/>
    <x v="1"/>
    <n v="5"/>
    <n v="650"/>
    <n v="0.15"/>
    <n v="2762.5"/>
    <n v="1900"/>
    <n v="862.5"/>
    <x v="4"/>
    <s v="Kabir"/>
    <s v="Corporate"/>
    <n v="0.31221719457013575"/>
    <s v="Good Profit"/>
    <s v="Normal"/>
  </r>
  <r>
    <s v="ORD0211"/>
    <d v="2025-07-26T00:00:00"/>
    <x v="0"/>
    <x v="0"/>
    <x v="2"/>
    <x v="8"/>
    <n v="5"/>
    <n v="120"/>
    <n v="0.1"/>
    <n v="540"/>
    <n v="275"/>
    <n v="265"/>
    <x v="3"/>
    <s v="Aarav"/>
    <s v="Returning"/>
    <n v="0.49074074074074076"/>
    <s v="Low Profit"/>
    <s v="Normal"/>
  </r>
  <r>
    <s v="ORD0212"/>
    <d v="2025-07-17T00:00:00"/>
    <x v="0"/>
    <x v="6"/>
    <x v="2"/>
    <x v="17"/>
    <n v="5"/>
    <n v="180"/>
    <n v="0"/>
    <n v="900"/>
    <n v="450"/>
    <n v="450"/>
    <x v="1"/>
    <s v="Sara"/>
    <s v="Corporate"/>
    <n v="0.5"/>
    <s v="Low Profit"/>
    <s v="Normal"/>
  </r>
  <r>
    <s v="ORD0213"/>
    <d v="2025-06-23T00:00:00"/>
    <x v="3"/>
    <x v="4"/>
    <x v="1"/>
    <x v="1"/>
    <n v="7"/>
    <n v="650"/>
    <n v="0.1"/>
    <n v="4095"/>
    <n v="2660"/>
    <n v="1435"/>
    <x v="1"/>
    <s v="Ananya"/>
    <s v="New"/>
    <n v="0.3504273504273504"/>
    <s v="Good Profit"/>
    <s v="Normal"/>
  </r>
  <r>
    <s v="ORD0214"/>
    <d v="2025-03-12T00:00:00"/>
    <x v="2"/>
    <x v="2"/>
    <x v="0"/>
    <x v="5"/>
    <n v="1"/>
    <n v="6200"/>
    <n v="0"/>
    <n v="6200"/>
    <n v="4300"/>
    <n v="1900"/>
    <x v="3"/>
    <s v="Sara"/>
    <s v="Corporate"/>
    <n v="0.30645161290322581"/>
    <s v="Good Profit"/>
    <s v="High Value"/>
  </r>
  <r>
    <s v="ORD0215"/>
    <d v="2025-11-10T00:00:00"/>
    <x v="1"/>
    <x v="7"/>
    <x v="0"/>
    <x v="10"/>
    <n v="3"/>
    <n v="1600"/>
    <n v="0.1"/>
    <n v="4320"/>
    <n v="2850"/>
    <n v="1470"/>
    <x v="3"/>
    <s v="Ishaan"/>
    <s v="Returning"/>
    <n v="0.34027777777777779"/>
    <s v="Good Profit"/>
    <s v="Normal"/>
  </r>
  <r>
    <s v="ORD0216"/>
    <d v="2025-12-29T00:00:00"/>
    <x v="3"/>
    <x v="15"/>
    <x v="0"/>
    <x v="10"/>
    <n v="9"/>
    <n v="1600"/>
    <n v="0.15"/>
    <n v="12240"/>
    <n v="8550"/>
    <n v="3690"/>
    <x v="1"/>
    <s v="Kabir"/>
    <s v="Returning"/>
    <n v="0.3014705882352941"/>
    <s v="Good Profit"/>
    <s v="High Value"/>
  </r>
  <r>
    <s v="ORD0217"/>
    <d v="2025-10-26T00:00:00"/>
    <x v="0"/>
    <x v="14"/>
    <x v="2"/>
    <x v="6"/>
    <n v="2"/>
    <n v="90"/>
    <n v="0.15"/>
    <n v="153"/>
    <n v="80"/>
    <n v="73"/>
    <x v="3"/>
    <s v="Aarav"/>
    <s v="Corporate"/>
    <n v="0.47712418300653597"/>
    <s v="Low Profit"/>
    <s v="Normal"/>
  </r>
  <r>
    <s v="ORD0218"/>
    <d v="2025-01-27T00:00:00"/>
    <x v="1"/>
    <x v="5"/>
    <x v="0"/>
    <x v="10"/>
    <n v="10"/>
    <n v="1600"/>
    <n v="0.05"/>
    <n v="15200"/>
    <n v="9500"/>
    <n v="5700"/>
    <x v="1"/>
    <s v="Sara"/>
    <s v="New"/>
    <n v="0.375"/>
    <s v="Good Profit"/>
    <s v="High Value"/>
  </r>
  <r>
    <s v="ORD0219"/>
    <d v="2025-12-25T00:00:00"/>
    <x v="1"/>
    <x v="7"/>
    <x v="0"/>
    <x v="12"/>
    <n v="1"/>
    <n v="7800"/>
    <n v="0.2"/>
    <n v="6240"/>
    <n v="5500"/>
    <n v="740"/>
    <x v="0"/>
    <s v="Meera"/>
    <s v="New"/>
    <n v="0.11858974358974358"/>
    <s v="Good Profit"/>
    <s v="Normal"/>
  </r>
  <r>
    <s v="ORD0220"/>
    <d v="2025-07-30T00:00:00"/>
    <x v="1"/>
    <x v="5"/>
    <x v="2"/>
    <x v="8"/>
    <n v="7"/>
    <n v="120"/>
    <n v="0.05"/>
    <n v="798"/>
    <n v="385"/>
    <n v="413"/>
    <x v="1"/>
    <s v="Sara"/>
    <s v="Corporate"/>
    <n v="0.51754385964912286"/>
    <s v="Low Profit"/>
    <s v="Normal"/>
  </r>
  <r>
    <s v="ORD0221"/>
    <d v="2025-12-06T00:00:00"/>
    <x v="0"/>
    <x v="6"/>
    <x v="0"/>
    <x v="12"/>
    <n v="9"/>
    <n v="7800"/>
    <n v="0.1"/>
    <n v="63180"/>
    <n v="49500"/>
    <n v="13680"/>
    <x v="4"/>
    <s v="Rohan"/>
    <s v="Returning"/>
    <n v="0.21652421652421652"/>
    <s v="Good Profit"/>
    <s v="High Value"/>
  </r>
  <r>
    <s v="ORD0222"/>
    <d v="2025-12-13T00:00:00"/>
    <x v="2"/>
    <x v="2"/>
    <x v="0"/>
    <x v="0"/>
    <n v="9"/>
    <n v="5400"/>
    <n v="0.1"/>
    <n v="43740"/>
    <n v="32400"/>
    <n v="11340"/>
    <x v="3"/>
    <s v="Sara"/>
    <s v="New"/>
    <n v="0.25925925925925924"/>
    <s v="Good Profit"/>
    <s v="High Value"/>
  </r>
  <r>
    <s v="ORD0223"/>
    <d v="2025-05-28T00:00:00"/>
    <x v="2"/>
    <x v="11"/>
    <x v="0"/>
    <x v="0"/>
    <n v="4"/>
    <n v="5400"/>
    <n v="0.1"/>
    <n v="19440"/>
    <n v="14400"/>
    <n v="5040"/>
    <x v="2"/>
    <s v="Sara"/>
    <s v="Returning"/>
    <n v="0.25925925925925924"/>
    <s v="Good Profit"/>
    <s v="High Value"/>
  </r>
  <r>
    <s v="ORD0224"/>
    <d v="2025-03-04T00:00:00"/>
    <x v="1"/>
    <x v="5"/>
    <x v="0"/>
    <x v="7"/>
    <n v="5"/>
    <n v="8900"/>
    <n v="0.1"/>
    <n v="40050"/>
    <n v="32000"/>
    <n v="8050"/>
    <x v="1"/>
    <s v="Rohan"/>
    <s v="Returning"/>
    <n v="0.2009987515605493"/>
    <s v="Good Profit"/>
    <s v="High Value"/>
  </r>
  <r>
    <s v="ORD0225"/>
    <d v="2025-06-27T00:00:00"/>
    <x v="3"/>
    <x v="3"/>
    <x v="2"/>
    <x v="14"/>
    <n v="5"/>
    <n v="250"/>
    <n v="0"/>
    <n v="1250"/>
    <n v="650"/>
    <n v="600"/>
    <x v="4"/>
    <s v="Kabir"/>
    <s v="Corporate"/>
    <n v="0.48"/>
    <s v="Good Profit"/>
    <s v="Normal"/>
  </r>
  <r>
    <s v="ORD0226"/>
    <d v="2025-12-23T00:00:00"/>
    <x v="1"/>
    <x v="7"/>
    <x v="1"/>
    <x v="15"/>
    <n v="5"/>
    <n v="9500"/>
    <n v="0.2"/>
    <n v="38000"/>
    <n v="36000"/>
    <n v="2000"/>
    <x v="3"/>
    <s v="Ishaan"/>
    <s v="New"/>
    <n v="5.2631578947368418E-2"/>
    <s v="Good Profit"/>
    <s v="High Value"/>
  </r>
  <r>
    <s v="ORD0227"/>
    <d v="2025-11-23T00:00:00"/>
    <x v="2"/>
    <x v="13"/>
    <x v="1"/>
    <x v="13"/>
    <n v="9"/>
    <n v="1200"/>
    <n v="0.05"/>
    <n v="10260"/>
    <n v="6300"/>
    <n v="3960"/>
    <x v="2"/>
    <s v="Aarav"/>
    <s v="New"/>
    <n v="0.38596491228070173"/>
    <s v="Good Profit"/>
    <s v="High Value"/>
  </r>
  <r>
    <s v="ORD0228"/>
    <d v="2025-01-03T00:00:00"/>
    <x v="1"/>
    <x v="5"/>
    <x v="0"/>
    <x v="4"/>
    <n v="2"/>
    <n v="950"/>
    <n v="0.05"/>
    <n v="1805"/>
    <n v="1040"/>
    <n v="765"/>
    <x v="1"/>
    <s v="Ishaan"/>
    <s v="Returning"/>
    <n v="0.42382271468144045"/>
    <s v="Good Profit"/>
    <s v="Normal"/>
  </r>
  <r>
    <s v="ORD0229"/>
    <d v="2025-05-27T00:00:00"/>
    <x v="1"/>
    <x v="9"/>
    <x v="0"/>
    <x v="12"/>
    <n v="5"/>
    <n v="7800"/>
    <n v="0.1"/>
    <n v="35100"/>
    <n v="27500"/>
    <n v="7600"/>
    <x v="0"/>
    <s v="Diya"/>
    <s v="Corporate"/>
    <n v="0.21652421652421652"/>
    <s v="Good Profit"/>
    <s v="High Value"/>
  </r>
  <r>
    <s v="ORD0230"/>
    <d v="2025-07-23T00:00:00"/>
    <x v="2"/>
    <x v="8"/>
    <x v="1"/>
    <x v="2"/>
    <n v="3"/>
    <n v="550"/>
    <n v="0"/>
    <n v="1650"/>
    <n v="900"/>
    <n v="750"/>
    <x v="4"/>
    <s v="Ishaan"/>
    <s v="Corporate"/>
    <n v="0.45454545454545453"/>
    <s v="Good Profit"/>
    <s v="Normal"/>
  </r>
  <r>
    <s v="ORD0231"/>
    <d v="2025-02-24T00:00:00"/>
    <x v="3"/>
    <x v="4"/>
    <x v="1"/>
    <x v="3"/>
    <n v="10"/>
    <n v="1800"/>
    <n v="0.2"/>
    <n v="14400"/>
    <n v="11500"/>
    <n v="2900"/>
    <x v="3"/>
    <s v="Kabir"/>
    <s v="Returning"/>
    <n v="0.2013888888888889"/>
    <s v="Good Profit"/>
    <s v="High Value"/>
  </r>
  <r>
    <s v="ORD0232"/>
    <d v="2025-02-27T00:00:00"/>
    <x v="1"/>
    <x v="7"/>
    <x v="0"/>
    <x v="4"/>
    <n v="5"/>
    <n v="950"/>
    <n v="0.05"/>
    <n v="4512.5"/>
    <n v="2600"/>
    <n v="1912.5"/>
    <x v="3"/>
    <s v="Ishaan"/>
    <s v="Corporate"/>
    <n v="0.42382271468144045"/>
    <s v="Good Profit"/>
    <s v="Normal"/>
  </r>
  <r>
    <s v="ORD0233"/>
    <d v="2025-06-01T00:00:00"/>
    <x v="1"/>
    <x v="5"/>
    <x v="0"/>
    <x v="12"/>
    <n v="1"/>
    <n v="7800"/>
    <n v="0.1"/>
    <n v="7020"/>
    <n v="5500"/>
    <n v="1520"/>
    <x v="1"/>
    <s v="Meera"/>
    <s v="New"/>
    <n v="0.21652421652421652"/>
    <s v="Good Profit"/>
    <s v="High Value"/>
  </r>
  <r>
    <s v="ORD0234"/>
    <d v="2025-12-09T00:00:00"/>
    <x v="1"/>
    <x v="9"/>
    <x v="0"/>
    <x v="0"/>
    <n v="2"/>
    <n v="5400"/>
    <n v="0.15"/>
    <n v="9180"/>
    <n v="7200"/>
    <n v="1980"/>
    <x v="0"/>
    <s v="Ishaan"/>
    <s v="New"/>
    <n v="0.21568627450980393"/>
    <s v="Good Profit"/>
    <s v="High Value"/>
  </r>
  <r>
    <s v="ORD0235"/>
    <d v="2025-05-01T00:00:00"/>
    <x v="1"/>
    <x v="5"/>
    <x v="1"/>
    <x v="1"/>
    <n v="5"/>
    <n v="650"/>
    <n v="0.15"/>
    <n v="2762.5"/>
    <n v="1900"/>
    <n v="862.5"/>
    <x v="4"/>
    <s v="Kabir"/>
    <s v="Returning"/>
    <n v="0.31221719457013575"/>
    <s v="Good Profit"/>
    <s v="Normal"/>
  </r>
  <r>
    <s v="ORD0236"/>
    <d v="2025-02-01T00:00:00"/>
    <x v="3"/>
    <x v="4"/>
    <x v="2"/>
    <x v="6"/>
    <n v="6"/>
    <n v="90"/>
    <n v="0.05"/>
    <n v="513"/>
    <n v="240"/>
    <n v="273"/>
    <x v="0"/>
    <s v="Sara"/>
    <s v="Returning"/>
    <n v="0.53216374269005851"/>
    <s v="Low Profit"/>
    <s v="Normal"/>
  </r>
  <r>
    <s v="ORD0237"/>
    <d v="2025-12-20T00:00:00"/>
    <x v="2"/>
    <x v="2"/>
    <x v="0"/>
    <x v="10"/>
    <n v="12"/>
    <n v="1600"/>
    <n v="0.1"/>
    <n v="17280"/>
    <n v="11400"/>
    <n v="5880"/>
    <x v="0"/>
    <s v="Kabir"/>
    <s v="Returning"/>
    <n v="0.34027777777777779"/>
    <s v="Good Profit"/>
    <s v="High Value"/>
  </r>
  <r>
    <s v="ORD0238"/>
    <d v="2025-11-07T00:00:00"/>
    <x v="2"/>
    <x v="13"/>
    <x v="1"/>
    <x v="2"/>
    <n v="3"/>
    <n v="550"/>
    <n v="0.15"/>
    <n v="1402.5"/>
    <n v="900"/>
    <n v="502.5"/>
    <x v="3"/>
    <s v="Rohan"/>
    <s v="Corporate"/>
    <n v="0.35828877005347592"/>
    <s v="Good Profit"/>
    <s v="Normal"/>
  </r>
  <r>
    <s v="ORD0239"/>
    <d v="2025-09-27T00:00:00"/>
    <x v="1"/>
    <x v="7"/>
    <x v="1"/>
    <x v="13"/>
    <n v="10"/>
    <n v="1200"/>
    <n v="0"/>
    <n v="12000"/>
    <n v="7000"/>
    <n v="5000"/>
    <x v="4"/>
    <s v="Ananya"/>
    <s v="New"/>
    <n v="0.41666666666666669"/>
    <s v="Good Profit"/>
    <s v="High Value"/>
  </r>
  <r>
    <s v="ORD0240"/>
    <d v="2025-10-02T00:00:00"/>
    <x v="0"/>
    <x v="0"/>
    <x v="0"/>
    <x v="10"/>
    <n v="4"/>
    <n v="1600"/>
    <n v="0.2"/>
    <n v="5120"/>
    <n v="3800"/>
    <n v="1320"/>
    <x v="2"/>
    <s v="Ishaan"/>
    <s v="Returning"/>
    <n v="0.2578125"/>
    <s v="Good Profit"/>
    <s v="High Value"/>
  </r>
  <r>
    <s v="ORD0241"/>
    <d v="2025-09-08T00:00:00"/>
    <x v="1"/>
    <x v="1"/>
    <x v="0"/>
    <x v="12"/>
    <n v="12"/>
    <n v="7800"/>
    <n v="0.2"/>
    <n v="74880"/>
    <n v="66000"/>
    <n v="8880"/>
    <x v="0"/>
    <s v="Sara"/>
    <s v="New"/>
    <n v="0.11858974358974358"/>
    <s v="Good Profit"/>
    <s v="High Value"/>
  </r>
  <r>
    <s v="ORD0242"/>
    <d v="2025-01-30T00:00:00"/>
    <x v="1"/>
    <x v="7"/>
    <x v="0"/>
    <x v="4"/>
    <n v="8"/>
    <n v="950"/>
    <n v="0.2"/>
    <n v="6080"/>
    <n v="4160"/>
    <n v="1920"/>
    <x v="1"/>
    <s v="Sara"/>
    <s v="Corporate"/>
    <n v="0.31578947368421051"/>
    <s v="Good Profit"/>
    <s v="High Value"/>
  </r>
  <r>
    <s v="ORD0243"/>
    <d v="2025-10-24T00:00:00"/>
    <x v="3"/>
    <x v="4"/>
    <x v="2"/>
    <x v="11"/>
    <n v="1"/>
    <n v="450"/>
    <n v="0.05"/>
    <n v="427.5"/>
    <n v="240"/>
    <n v="187.5"/>
    <x v="0"/>
    <s v="Aarav"/>
    <s v="Returning"/>
    <n v="0.43859649122807015"/>
    <s v="Low Profit"/>
    <s v="Normal"/>
  </r>
  <r>
    <s v="ORD0244"/>
    <d v="2025-01-17T00:00:00"/>
    <x v="3"/>
    <x v="4"/>
    <x v="0"/>
    <x v="5"/>
    <n v="2"/>
    <n v="6200"/>
    <n v="0.15"/>
    <n v="10540"/>
    <n v="8600"/>
    <n v="1940"/>
    <x v="3"/>
    <s v="Rohan"/>
    <s v="New"/>
    <n v="0.18406072106261859"/>
    <s v="Good Profit"/>
    <s v="High Value"/>
  </r>
  <r>
    <s v="ORD0245"/>
    <d v="2025-07-12T00:00:00"/>
    <x v="2"/>
    <x v="2"/>
    <x v="2"/>
    <x v="16"/>
    <n v="8"/>
    <n v="380"/>
    <n v="0.15"/>
    <n v="2584"/>
    <n v="2000"/>
    <n v="584"/>
    <x v="0"/>
    <s v="Ishaan"/>
    <s v="Corporate"/>
    <n v="0.2260061919504644"/>
    <s v="Good Profit"/>
    <s v="Normal"/>
  </r>
  <r>
    <s v="ORD0246"/>
    <d v="2025-03-07T00:00:00"/>
    <x v="3"/>
    <x v="4"/>
    <x v="1"/>
    <x v="15"/>
    <n v="7"/>
    <n v="9500"/>
    <n v="0.2"/>
    <n v="53200"/>
    <n v="50400"/>
    <n v="2800"/>
    <x v="2"/>
    <s v="Aarav"/>
    <s v="New"/>
    <n v="5.2631578947368418E-2"/>
    <s v="Good Profit"/>
    <s v="High Value"/>
  </r>
  <r>
    <s v="ORD0247"/>
    <d v="2025-09-30T00:00:00"/>
    <x v="3"/>
    <x v="10"/>
    <x v="0"/>
    <x v="7"/>
    <n v="9"/>
    <n v="8900"/>
    <n v="0.15"/>
    <n v="68085"/>
    <n v="57600"/>
    <n v="10485"/>
    <x v="4"/>
    <s v="Meera"/>
    <s v="New"/>
    <n v="0.15399867812293458"/>
    <s v="Good Profit"/>
    <s v="High Value"/>
  </r>
  <r>
    <s v="ORD0248"/>
    <d v="2025-01-17T00:00:00"/>
    <x v="1"/>
    <x v="5"/>
    <x v="1"/>
    <x v="3"/>
    <n v="4"/>
    <n v="1800"/>
    <n v="0"/>
    <n v="7200"/>
    <n v="4600"/>
    <n v="2600"/>
    <x v="4"/>
    <s v="Aarav"/>
    <s v="New"/>
    <n v="0.3611111111111111"/>
    <s v="Good Profit"/>
    <s v="High Value"/>
  </r>
  <r>
    <s v="ORD0249"/>
    <d v="2025-11-03T00:00:00"/>
    <x v="2"/>
    <x v="8"/>
    <x v="1"/>
    <x v="15"/>
    <n v="1"/>
    <n v="9500"/>
    <n v="0.15"/>
    <n v="8075"/>
    <n v="7200"/>
    <n v="875"/>
    <x v="0"/>
    <s v="Meera"/>
    <s v="Corporate"/>
    <n v="0.10835913312693499"/>
    <s v="Good Profit"/>
    <s v="Normal"/>
  </r>
  <r>
    <s v="ORD0250"/>
    <d v="2025-01-29T00:00:00"/>
    <x v="0"/>
    <x v="12"/>
    <x v="2"/>
    <x v="8"/>
    <n v="9"/>
    <n v="120"/>
    <n v="0.05"/>
    <n v="1026"/>
    <n v="495"/>
    <n v="531"/>
    <x v="2"/>
    <s v="Kabir"/>
    <s v="New"/>
    <n v="0.51754385964912286"/>
    <s v="Good Profit"/>
    <s v="Normal"/>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Mumbai"/>
    <x v="0"/>
    <x v="0"/>
    <n v="4"/>
    <n v="5400"/>
    <n v="0.05"/>
    <n v="20520"/>
    <n v="14400"/>
    <n v="6120"/>
    <s v="UPI"/>
    <s v="Diya"/>
    <s v="Corporate"/>
    <n v="0.2982456140350877"/>
    <s v="Good Profit"/>
    <s v="High Value"/>
  </r>
  <r>
    <s v="Kolkata"/>
    <x v="1"/>
    <x v="1"/>
    <n v="4"/>
    <n v="650"/>
    <n v="0.05"/>
    <n v="2470"/>
    <n v="1520"/>
    <n v="950"/>
    <s v="Net Banking"/>
    <s v="Aarav"/>
    <s v="Corporate"/>
    <n v="0.38461538461538464"/>
    <s v="Good Profit"/>
    <s v="Normal"/>
  </r>
  <r>
    <s v="Mysuru"/>
    <x v="1"/>
    <x v="2"/>
    <n v="10"/>
    <n v="550"/>
    <n v="0.1"/>
    <n v="4950"/>
    <n v="3000"/>
    <n v="1950"/>
    <s v="Credit Card"/>
    <s v="Rohan"/>
    <s v="Returning"/>
    <n v="0.39393939393939392"/>
    <s v="Good Profit"/>
    <s v="Normal"/>
  </r>
  <r>
    <s v="Jaipur"/>
    <x v="1"/>
    <x v="3"/>
    <n v="2"/>
    <n v="1800"/>
    <n v="0"/>
    <n v="3600"/>
    <n v="2300"/>
    <n v="1300"/>
    <s v="UPI"/>
    <s v="Ananya"/>
    <s v="Returning"/>
    <n v="0.3611111111111111"/>
    <s v="Good Profit"/>
    <s v="Normal"/>
  </r>
  <r>
    <s v="Delhi"/>
    <x v="0"/>
    <x v="4"/>
    <n v="9"/>
    <n v="950"/>
    <n v="0"/>
    <n v="8550"/>
    <n v="4680"/>
    <n v="3870"/>
    <s v="UPI"/>
    <s v="Kabir"/>
    <s v="Corporate"/>
    <n v="0.45263157894736844"/>
    <s v="Good Profit"/>
    <s v="High Value"/>
  </r>
  <r>
    <s v="Jaipur"/>
    <x v="0"/>
    <x v="5"/>
    <n v="1"/>
    <n v="6200"/>
    <n v="0.05"/>
    <n v="5890"/>
    <n v="4300"/>
    <n v="1590"/>
    <s v="UPI"/>
    <s v="Meera"/>
    <s v="New"/>
    <n v="0.2699490662139219"/>
    <s v="Good Profit"/>
    <s v="High Value"/>
  </r>
  <r>
    <s v="Patna"/>
    <x v="2"/>
    <x v="6"/>
    <n v="6"/>
    <n v="90"/>
    <n v="0.05"/>
    <n v="513"/>
    <n v="240"/>
    <n v="273"/>
    <s v="Debit Card"/>
    <s v="Meera"/>
    <s v="Corporate"/>
    <n v="0.53216374269005851"/>
    <s v="Low Profit"/>
    <s v="Normal"/>
  </r>
  <r>
    <s v="Delhi"/>
    <x v="0"/>
    <x v="7"/>
    <n v="3"/>
    <n v="8900"/>
    <n v="0.2"/>
    <n v="21360"/>
    <n v="19200"/>
    <n v="2160"/>
    <s v="Credit Card"/>
    <s v="Sara"/>
    <s v="Returning"/>
    <n v="0.10112359550561797"/>
    <s v="Good Profit"/>
    <s v="High Value"/>
  </r>
  <r>
    <s v="Jaipur"/>
    <x v="0"/>
    <x v="0"/>
    <n v="1"/>
    <n v="5400"/>
    <n v="0.05"/>
    <n v="5130"/>
    <n v="3600"/>
    <n v="1530"/>
    <s v="Debit Card"/>
    <s v="Rohan"/>
    <s v="Returning"/>
    <n v="0.2982456140350877"/>
    <s v="Good Profit"/>
    <s v="High Value"/>
  </r>
  <r>
    <s v="Pune"/>
    <x v="0"/>
    <x v="7"/>
    <n v="6"/>
    <n v="8900"/>
    <n v="0.05"/>
    <n v="50730"/>
    <n v="38400"/>
    <n v="12330"/>
    <s v="Cash"/>
    <s v="Rohan"/>
    <s v="Corporate"/>
    <n v="0.24305144884683619"/>
    <s v="Good Profit"/>
    <s v="High Value"/>
  </r>
  <r>
    <s v="Bhubaneswar"/>
    <x v="2"/>
    <x v="8"/>
    <n v="4"/>
    <n v="120"/>
    <n v="0.2"/>
    <n v="384"/>
    <n v="220"/>
    <n v="164"/>
    <s v="Debit Card"/>
    <s v="Rohan"/>
    <s v="Corporate"/>
    <n v="0.42708333333333331"/>
    <s v="Low Profit"/>
    <s v="Normal"/>
  </r>
  <r>
    <s v="Patna"/>
    <x v="1"/>
    <x v="9"/>
    <n v="9"/>
    <n v="950"/>
    <n v="0.15"/>
    <n v="7267.5"/>
    <n v="5130"/>
    <n v="2137.5"/>
    <s v="UPI"/>
    <s v="Diya"/>
    <s v="New"/>
    <n v="0.29411764705882354"/>
    <s v="Good Profit"/>
    <s v="High Value"/>
  </r>
  <r>
    <s v="Mysuru"/>
    <x v="0"/>
    <x v="5"/>
    <n v="7"/>
    <n v="6200"/>
    <n v="0.15"/>
    <n v="36890"/>
    <n v="30100"/>
    <n v="6790"/>
    <s v="Cash"/>
    <s v="Kabir"/>
    <s v="Corporate"/>
    <n v="0.18406072106261859"/>
    <s v="Good Profit"/>
    <s v="High Value"/>
  </r>
  <r>
    <s v="Mumbai"/>
    <x v="0"/>
    <x v="10"/>
    <n v="5"/>
    <n v="1600"/>
    <n v="0.1"/>
    <n v="7200"/>
    <n v="4750"/>
    <n v="2450"/>
    <s v="Debit Card"/>
    <s v="Rohan"/>
    <s v="New"/>
    <n v="0.34027777777777779"/>
    <s v="Good Profit"/>
    <s v="High Value"/>
  </r>
  <r>
    <s v="Kolkata"/>
    <x v="0"/>
    <x v="7"/>
    <n v="5"/>
    <n v="8900"/>
    <n v="0.2"/>
    <n v="35600"/>
    <n v="32000"/>
    <n v="3600"/>
    <s v="Net Banking"/>
    <s v="Diya"/>
    <s v="Corporate"/>
    <n v="0.10112359550561797"/>
    <s v="Good Profit"/>
    <s v="High Value"/>
  </r>
  <r>
    <s v="Jaipur"/>
    <x v="1"/>
    <x v="3"/>
    <n v="3"/>
    <n v="1800"/>
    <n v="0.2"/>
    <n v="4320"/>
    <n v="3450"/>
    <n v="870"/>
    <s v="UPI"/>
    <s v="Ananya"/>
    <s v="Returning"/>
    <n v="0.2013888888888889"/>
    <s v="Good Profit"/>
    <s v="Normal"/>
  </r>
  <r>
    <s v="Mumbai"/>
    <x v="2"/>
    <x v="11"/>
    <n v="4"/>
    <n v="450"/>
    <n v="0"/>
    <n v="1800"/>
    <n v="960"/>
    <n v="840"/>
    <s v="Net Banking"/>
    <s v="Diya"/>
    <s v="New"/>
    <n v="0.46666666666666667"/>
    <s v="Good Profit"/>
    <s v="Normal"/>
  </r>
  <r>
    <s v="Kolkata"/>
    <x v="0"/>
    <x v="12"/>
    <n v="3"/>
    <n v="7800"/>
    <n v="0.15"/>
    <n v="19890"/>
    <n v="16500"/>
    <n v="3390"/>
    <s v="Credit Card"/>
    <s v="Kabir"/>
    <s v="Corporate"/>
    <n v="0.17043740573152338"/>
    <s v="Good Profit"/>
    <s v="High Value"/>
  </r>
  <r>
    <s v="Bhubaneswar"/>
    <x v="0"/>
    <x v="7"/>
    <n v="12"/>
    <n v="8900"/>
    <n v="0.05"/>
    <n v="101460"/>
    <n v="76800"/>
    <n v="24660"/>
    <s v="Cash"/>
    <s v="Ananya"/>
    <s v="Returning"/>
    <n v="0.24305144884683619"/>
    <s v="Good Profit"/>
    <s v="High Value"/>
  </r>
  <r>
    <s v="Kolkata"/>
    <x v="1"/>
    <x v="9"/>
    <n v="2"/>
    <n v="950"/>
    <n v="0.1"/>
    <n v="1710"/>
    <n v="1140"/>
    <n v="570"/>
    <s v="Net Banking"/>
    <s v="Meera"/>
    <s v="Corporate"/>
    <n v="0.33333333333333331"/>
    <s v="Good Profit"/>
    <s v="Normal"/>
  </r>
  <r>
    <s v="Bengaluru"/>
    <x v="1"/>
    <x v="13"/>
    <n v="11"/>
    <n v="1200"/>
    <n v="0"/>
    <n v="13200"/>
    <n v="7700"/>
    <n v="5500"/>
    <s v="UPI"/>
    <s v="Aarav"/>
    <s v="Returning"/>
    <n v="0.41666666666666669"/>
    <s v="Good Profit"/>
    <s v="High Value"/>
  </r>
  <r>
    <s v="Pune"/>
    <x v="2"/>
    <x v="6"/>
    <n v="8"/>
    <n v="90"/>
    <n v="0.05"/>
    <n v="684"/>
    <n v="320"/>
    <n v="364"/>
    <s v="Credit Card"/>
    <s v="Sara"/>
    <s v="New"/>
    <n v="0.53216374269005851"/>
    <s v="Low Profit"/>
    <s v="Normal"/>
  </r>
  <r>
    <s v="Guwahati"/>
    <x v="1"/>
    <x v="1"/>
    <n v="2"/>
    <n v="650"/>
    <n v="0.15"/>
    <n v="1105"/>
    <n v="760"/>
    <n v="345"/>
    <s v="Cash"/>
    <s v="Rohan"/>
    <s v="Returning"/>
    <n v="0.31221719457013575"/>
    <s v="Low Profit"/>
    <s v="Normal"/>
  </r>
  <r>
    <s v="Mumbai"/>
    <x v="1"/>
    <x v="2"/>
    <n v="12"/>
    <n v="550"/>
    <n v="0.1"/>
    <n v="5940"/>
    <n v="3600"/>
    <n v="2340"/>
    <s v="Credit Card"/>
    <s v="Meera"/>
    <s v="New"/>
    <n v="0.39393939393939392"/>
    <s v="Good Profit"/>
    <s v="High Value"/>
  </r>
  <r>
    <s v="Bhubaneswar"/>
    <x v="2"/>
    <x v="8"/>
    <n v="5"/>
    <n v="120"/>
    <n v="0.15"/>
    <n v="510"/>
    <n v="275"/>
    <n v="235"/>
    <s v="UPI"/>
    <s v="Sara"/>
    <s v="Corporate"/>
    <n v="0.46078431372549017"/>
    <s v="Low Profit"/>
    <s v="Normal"/>
  </r>
  <r>
    <s v="Mumbai"/>
    <x v="0"/>
    <x v="10"/>
    <n v="1"/>
    <n v="1600"/>
    <n v="0"/>
    <n v="1600"/>
    <n v="950"/>
    <n v="650"/>
    <s v="Credit Card"/>
    <s v="Rohan"/>
    <s v="Returning"/>
    <n v="0.40625"/>
    <s v="Good Profit"/>
    <s v="Normal"/>
  </r>
  <r>
    <s v="Bhubaneswar"/>
    <x v="2"/>
    <x v="14"/>
    <n v="3"/>
    <n v="250"/>
    <n v="0.15"/>
    <n v="637.5"/>
    <n v="390"/>
    <n v="247.5"/>
    <s v="Cash"/>
    <s v="Kabir"/>
    <s v="Returning"/>
    <n v="0.38823529411764707"/>
    <s v="Low Profit"/>
    <s v="Normal"/>
  </r>
  <r>
    <s v="Chandigarh"/>
    <x v="0"/>
    <x v="7"/>
    <n v="9"/>
    <n v="8900"/>
    <n v="0.15"/>
    <n v="68085"/>
    <n v="57600"/>
    <n v="10485"/>
    <s v="Credit Card"/>
    <s v="Kabir"/>
    <s v="New"/>
    <n v="0.15399867812293458"/>
    <s v="Good Profit"/>
    <s v="High Value"/>
  </r>
  <r>
    <s v="Mumbai"/>
    <x v="0"/>
    <x v="0"/>
    <n v="1"/>
    <n v="5400"/>
    <n v="0"/>
    <n v="5400"/>
    <n v="3600"/>
    <n v="1800"/>
    <s v="Cash"/>
    <s v="Ishaan"/>
    <s v="New"/>
    <n v="0.33333333333333331"/>
    <s v="Good Profit"/>
    <s v="High Value"/>
  </r>
  <r>
    <s v="Pune"/>
    <x v="1"/>
    <x v="15"/>
    <n v="2"/>
    <n v="9500"/>
    <n v="0.05"/>
    <n v="18050"/>
    <n v="14400"/>
    <n v="3650"/>
    <s v="UPI"/>
    <s v="Meera"/>
    <s v="Corporate"/>
    <n v="0.20221606648199447"/>
    <s v="Good Profit"/>
    <s v="High Value"/>
  </r>
  <r>
    <s v="Mumbai"/>
    <x v="2"/>
    <x v="6"/>
    <n v="10"/>
    <n v="90"/>
    <n v="0.2"/>
    <n v="720"/>
    <n v="400"/>
    <n v="320"/>
    <s v="Debit Card"/>
    <s v="Kabir"/>
    <s v="New"/>
    <n v="0.44444444444444442"/>
    <s v="Low Profit"/>
    <s v="Normal"/>
  </r>
  <r>
    <s v="Jaipur"/>
    <x v="2"/>
    <x v="16"/>
    <n v="3"/>
    <n v="380"/>
    <n v="0.1"/>
    <n v="1026"/>
    <n v="750"/>
    <n v="276"/>
    <s v="Debit Card"/>
    <s v="Diya"/>
    <s v="New"/>
    <n v="0.26900584795321636"/>
    <s v="Low Profit"/>
    <s v="Normal"/>
  </r>
  <r>
    <s v="Kolkata"/>
    <x v="1"/>
    <x v="15"/>
    <n v="4"/>
    <n v="9500"/>
    <n v="0.2"/>
    <n v="30400"/>
    <n v="28800"/>
    <n v="1600"/>
    <s v="Credit Card"/>
    <s v="Ananya"/>
    <s v="New"/>
    <n v="5.2631578947368418E-2"/>
    <s v="Good Profit"/>
    <s v="High Value"/>
  </r>
  <r>
    <s v="Hyderabad"/>
    <x v="2"/>
    <x v="8"/>
    <n v="8"/>
    <n v="120"/>
    <n v="0.2"/>
    <n v="768"/>
    <n v="440"/>
    <n v="328"/>
    <s v="Debit Card"/>
    <s v="Aarav"/>
    <s v="Corporate"/>
    <n v="0.42708333333333331"/>
    <s v="Low Profit"/>
    <s v="Normal"/>
  </r>
  <r>
    <s v="Delhi"/>
    <x v="1"/>
    <x v="3"/>
    <n v="2"/>
    <n v="1800"/>
    <n v="0"/>
    <n v="3600"/>
    <n v="2300"/>
    <n v="1300"/>
    <s v="Credit Card"/>
    <s v="Kabir"/>
    <s v="Returning"/>
    <n v="0.3611111111111111"/>
    <s v="Good Profit"/>
    <s v="Normal"/>
  </r>
  <r>
    <s v="Hyderabad"/>
    <x v="1"/>
    <x v="13"/>
    <n v="11"/>
    <n v="1200"/>
    <n v="0.1"/>
    <n v="11880"/>
    <n v="7700"/>
    <n v="4180"/>
    <s v="Cash"/>
    <s v="Kabir"/>
    <s v="New"/>
    <n v="0.35185185185185186"/>
    <s v="Good Profit"/>
    <s v="High Value"/>
  </r>
  <r>
    <s v="Nagpur"/>
    <x v="2"/>
    <x v="14"/>
    <n v="1"/>
    <n v="250"/>
    <n v="0.1"/>
    <n v="225"/>
    <n v="130"/>
    <n v="95"/>
    <s v="Debit Card"/>
    <s v="Ishaan"/>
    <s v="Corporate"/>
    <n v="0.42222222222222222"/>
    <s v="Low Profit"/>
    <s v="Normal"/>
  </r>
  <r>
    <s v="Guwahati"/>
    <x v="0"/>
    <x v="5"/>
    <n v="2"/>
    <n v="6200"/>
    <n v="0"/>
    <n v="12400"/>
    <n v="8600"/>
    <n v="3800"/>
    <s v="Credit Card"/>
    <s v="Aarav"/>
    <s v="Returning"/>
    <n v="0.30645161290322581"/>
    <s v="Good Profit"/>
    <s v="High Value"/>
  </r>
  <r>
    <s v="Mysuru"/>
    <x v="1"/>
    <x v="1"/>
    <n v="5"/>
    <n v="650"/>
    <n v="0.1"/>
    <n v="2925"/>
    <n v="1900"/>
    <n v="1025"/>
    <s v="Debit Card"/>
    <s v="Meera"/>
    <s v="Corporate"/>
    <n v="0.3504273504273504"/>
    <s v="Good Profit"/>
    <s v="Normal"/>
  </r>
  <r>
    <s v="Bengaluru"/>
    <x v="2"/>
    <x v="17"/>
    <n v="7"/>
    <n v="180"/>
    <n v="0.2"/>
    <n v="1008"/>
    <n v="630"/>
    <n v="378"/>
    <s v="Credit Card"/>
    <s v="Ishaan"/>
    <s v="New"/>
    <n v="0.375"/>
    <s v="Low Profit"/>
    <s v="Normal"/>
  </r>
  <r>
    <s v="Kolkata"/>
    <x v="1"/>
    <x v="13"/>
    <n v="6"/>
    <n v="1200"/>
    <n v="0.15"/>
    <n v="6120"/>
    <n v="4200"/>
    <n v="1920"/>
    <s v="Credit Card"/>
    <s v="Kabir"/>
    <s v="New"/>
    <n v="0.31372549019607843"/>
    <s v="Good Profit"/>
    <s v="High Value"/>
  </r>
  <r>
    <s v="Nagpur"/>
    <x v="1"/>
    <x v="2"/>
    <n v="4"/>
    <n v="550"/>
    <n v="0.05"/>
    <n v="2090"/>
    <n v="1200"/>
    <n v="890"/>
    <s v="Debit Card"/>
    <s v="Kabir"/>
    <s v="New"/>
    <n v="0.42583732057416268"/>
    <s v="Good Profit"/>
    <s v="Normal"/>
  </r>
  <r>
    <s v="Bengaluru"/>
    <x v="0"/>
    <x v="12"/>
    <n v="7"/>
    <n v="7800"/>
    <n v="0.1"/>
    <n v="49140"/>
    <n v="38500"/>
    <n v="10640"/>
    <s v="UPI"/>
    <s v="Kabir"/>
    <s v="Returning"/>
    <n v="0.21652421652421652"/>
    <s v="Good Profit"/>
    <s v="High Value"/>
  </r>
  <r>
    <s v="Patna"/>
    <x v="1"/>
    <x v="1"/>
    <n v="5"/>
    <n v="650"/>
    <n v="0.05"/>
    <n v="3087.5"/>
    <n v="1900"/>
    <n v="1187.5"/>
    <s v="Debit Card"/>
    <s v="Aarav"/>
    <s v="New"/>
    <n v="0.38461538461538464"/>
    <s v="Good Profit"/>
    <s v="Normal"/>
  </r>
  <r>
    <s v="Patna"/>
    <x v="0"/>
    <x v="0"/>
    <n v="7"/>
    <n v="5400"/>
    <n v="0.2"/>
    <n v="30240"/>
    <n v="25200"/>
    <n v="5040"/>
    <s v="UPI"/>
    <s v="Rohan"/>
    <s v="Corporate"/>
    <n v="0.16666666666666666"/>
    <s v="Good Profit"/>
    <s v="High Value"/>
  </r>
  <r>
    <s v="Hyderabad"/>
    <x v="1"/>
    <x v="13"/>
    <n v="7"/>
    <n v="1200"/>
    <n v="0"/>
    <n v="8400"/>
    <n v="4900"/>
    <n v="3500"/>
    <s v="Net Banking"/>
    <s v="Meera"/>
    <s v="Returning"/>
    <n v="0.41666666666666669"/>
    <s v="Good Profit"/>
    <s v="High Value"/>
  </r>
  <r>
    <s v="Kolkata"/>
    <x v="0"/>
    <x v="0"/>
    <n v="10"/>
    <n v="5400"/>
    <n v="0.1"/>
    <n v="48600"/>
    <n v="36000"/>
    <n v="12600"/>
    <s v="UPI"/>
    <s v="Kabir"/>
    <s v="Corporate"/>
    <n v="0.25925925925925924"/>
    <s v="Good Profit"/>
    <s v="High Value"/>
  </r>
  <r>
    <s v="Chandigarh"/>
    <x v="2"/>
    <x v="16"/>
    <n v="12"/>
    <n v="380"/>
    <n v="0.1"/>
    <n v="4104"/>
    <n v="3000"/>
    <n v="1104"/>
    <s v="Credit Card"/>
    <s v="Meera"/>
    <s v="Returning"/>
    <n v="0.26900584795321636"/>
    <s v="Good Profit"/>
    <s v="Normal"/>
  </r>
  <r>
    <s v="Bhubaneswar"/>
    <x v="0"/>
    <x v="10"/>
    <n v="5"/>
    <n v="1600"/>
    <n v="0.15"/>
    <n v="6800"/>
    <n v="4750"/>
    <n v="2050"/>
    <s v="UPI"/>
    <s v="Kabir"/>
    <s v="Returning"/>
    <n v="0.3014705882352941"/>
    <s v="Good Profit"/>
    <s v="High Value"/>
  </r>
  <r>
    <s v="Mysuru"/>
    <x v="0"/>
    <x v="10"/>
    <n v="11"/>
    <n v="1600"/>
    <n v="0.1"/>
    <n v="15840"/>
    <n v="10450"/>
    <n v="5390"/>
    <s v="Cash"/>
    <s v="Sara"/>
    <s v="Corporate"/>
    <n v="0.34027777777777779"/>
    <s v="Good Profit"/>
    <s v="High Value"/>
  </r>
  <r>
    <s v="Mysuru"/>
    <x v="0"/>
    <x v="12"/>
    <n v="11"/>
    <n v="7800"/>
    <n v="0"/>
    <n v="85800"/>
    <n v="60500"/>
    <n v="25300"/>
    <s v="Net Banking"/>
    <s v="Ananya"/>
    <s v="New"/>
    <n v="0.29487179487179488"/>
    <s v="Good Profit"/>
    <s v="High Value"/>
  </r>
  <r>
    <s v="Hyderabad"/>
    <x v="1"/>
    <x v="9"/>
    <n v="3"/>
    <n v="950"/>
    <n v="0"/>
    <n v="2850"/>
    <n v="1710"/>
    <n v="1140"/>
    <s v="Credit Card"/>
    <s v="Sara"/>
    <s v="Corporate"/>
    <n v="0.4"/>
    <s v="Good Profit"/>
    <s v="Normal"/>
  </r>
  <r>
    <s v="Nagpur"/>
    <x v="2"/>
    <x v="6"/>
    <n v="10"/>
    <n v="90"/>
    <n v="0.05"/>
    <n v="855"/>
    <n v="400"/>
    <n v="455"/>
    <s v="Cash"/>
    <s v="Sara"/>
    <s v="Returning"/>
    <n v="0.53216374269005851"/>
    <s v="Low Profit"/>
    <s v="Normal"/>
  </r>
  <r>
    <s v="Chennai"/>
    <x v="0"/>
    <x v="7"/>
    <n v="1"/>
    <n v="8900"/>
    <n v="0"/>
    <n v="8900"/>
    <n v="6400"/>
    <n v="2500"/>
    <s v="Credit Card"/>
    <s v="Ishaan"/>
    <s v="Corporate"/>
    <n v="0.2808988764044944"/>
    <s v="Good Profit"/>
    <s v="High Value"/>
  </r>
  <r>
    <s v="Kolkata"/>
    <x v="0"/>
    <x v="12"/>
    <n v="2"/>
    <n v="7800"/>
    <n v="0.15"/>
    <n v="13260"/>
    <n v="11000"/>
    <n v="2260"/>
    <s v="Cash"/>
    <s v="Ananya"/>
    <s v="Returning"/>
    <n v="0.17043740573152338"/>
    <s v="Good Profit"/>
    <s v="High Value"/>
  </r>
  <r>
    <s v="Guwahati"/>
    <x v="1"/>
    <x v="13"/>
    <n v="8"/>
    <n v="1200"/>
    <n v="0.15"/>
    <n v="8160"/>
    <n v="5600"/>
    <n v="2560"/>
    <s v="Credit Card"/>
    <s v="Kabir"/>
    <s v="Corporate"/>
    <n v="0.31372549019607843"/>
    <s v="Good Profit"/>
    <s v="High Value"/>
  </r>
  <r>
    <s v="Bhubaneswar"/>
    <x v="2"/>
    <x v="16"/>
    <n v="2"/>
    <n v="380"/>
    <n v="0.1"/>
    <n v="684"/>
    <n v="500"/>
    <n v="184"/>
    <s v="Debit Card"/>
    <s v="Ananya"/>
    <s v="Returning"/>
    <n v="0.26900584795321636"/>
    <s v="Low Profit"/>
    <s v="Normal"/>
  </r>
  <r>
    <s v="Pune"/>
    <x v="1"/>
    <x v="9"/>
    <n v="7"/>
    <n v="950"/>
    <n v="0.05"/>
    <n v="6317.5"/>
    <n v="3990"/>
    <n v="2327.5"/>
    <s v="Credit Card"/>
    <s v="Diya"/>
    <s v="Returning"/>
    <n v="0.36842105263157893"/>
    <s v="Good Profit"/>
    <s v="High Value"/>
  </r>
  <r>
    <s v="Patna"/>
    <x v="0"/>
    <x v="4"/>
    <n v="7"/>
    <n v="950"/>
    <n v="0"/>
    <n v="6650"/>
    <n v="3640"/>
    <n v="3010"/>
    <s v="Cash"/>
    <s v="Rohan"/>
    <s v="Corporate"/>
    <n v="0.45263157894736844"/>
    <s v="Good Profit"/>
    <s v="High Value"/>
  </r>
  <r>
    <s v="Nagpur"/>
    <x v="2"/>
    <x v="14"/>
    <n v="6"/>
    <n v="250"/>
    <n v="0.1"/>
    <n v="1350"/>
    <n v="780"/>
    <n v="570"/>
    <s v="Cash"/>
    <s v="Meera"/>
    <s v="Returning"/>
    <n v="0.42222222222222222"/>
    <s v="Good Profit"/>
    <s v="Normal"/>
  </r>
  <r>
    <s v="Hyderabad"/>
    <x v="2"/>
    <x v="16"/>
    <n v="1"/>
    <n v="380"/>
    <n v="0.15"/>
    <n v="323"/>
    <n v="250"/>
    <n v="73"/>
    <s v="Cash"/>
    <s v="Ishaan"/>
    <s v="Returning"/>
    <n v="0.2260061919504644"/>
    <s v="Low Profit"/>
    <s v="Normal"/>
  </r>
  <r>
    <s v="Bengaluru"/>
    <x v="2"/>
    <x v="17"/>
    <n v="10"/>
    <n v="180"/>
    <n v="0"/>
    <n v="1800"/>
    <n v="900"/>
    <n v="900"/>
    <s v="Cash"/>
    <s v="Ishaan"/>
    <s v="Returning"/>
    <n v="0.5"/>
    <s v="Good Profit"/>
    <s v="Normal"/>
  </r>
  <r>
    <s v="Bengaluru"/>
    <x v="2"/>
    <x v="16"/>
    <n v="6"/>
    <n v="380"/>
    <n v="0.05"/>
    <n v="2166"/>
    <n v="1500"/>
    <n v="666"/>
    <s v="Debit Card"/>
    <s v="Ananya"/>
    <s v="Returning"/>
    <n v="0.30747922437673131"/>
    <s v="Good Profit"/>
    <s v="Normal"/>
  </r>
  <r>
    <s v="Chandigarh"/>
    <x v="2"/>
    <x v="14"/>
    <n v="8"/>
    <n v="250"/>
    <n v="0"/>
    <n v="2000"/>
    <n v="1040"/>
    <n v="960"/>
    <s v="UPI"/>
    <s v="Ananya"/>
    <s v="New"/>
    <n v="0.48"/>
    <s v="Good Profit"/>
    <s v="Normal"/>
  </r>
  <r>
    <s v="Mumbai"/>
    <x v="1"/>
    <x v="9"/>
    <n v="4"/>
    <n v="950"/>
    <n v="0"/>
    <n v="3800"/>
    <n v="2280"/>
    <n v="1520"/>
    <s v="Credit Card"/>
    <s v="Meera"/>
    <s v="New"/>
    <n v="0.4"/>
    <s v="Good Profit"/>
    <s v="Normal"/>
  </r>
  <r>
    <s v="Kolkata"/>
    <x v="0"/>
    <x v="12"/>
    <n v="8"/>
    <n v="7800"/>
    <n v="0.1"/>
    <n v="56160"/>
    <n v="44000"/>
    <n v="12160"/>
    <s v="Credit Card"/>
    <s v="Diya"/>
    <s v="New"/>
    <n v="0.21652421652421652"/>
    <s v="Good Profit"/>
    <s v="High Value"/>
  </r>
  <r>
    <s v="Delhi"/>
    <x v="0"/>
    <x v="5"/>
    <n v="5"/>
    <n v="6200"/>
    <n v="0.2"/>
    <n v="24800"/>
    <n v="21500"/>
    <n v="3300"/>
    <s v="Cash"/>
    <s v="Rohan"/>
    <s v="Corporate"/>
    <n v="0.13306451612903225"/>
    <s v="Good Profit"/>
    <s v="High Value"/>
  </r>
  <r>
    <s v="Bengaluru"/>
    <x v="0"/>
    <x v="7"/>
    <n v="11"/>
    <n v="8900"/>
    <n v="0.05"/>
    <n v="93005"/>
    <n v="70400"/>
    <n v="22605"/>
    <s v="Debit Card"/>
    <s v="Diya"/>
    <s v="Corporate"/>
    <n v="0.24305144884683619"/>
    <s v="Good Profit"/>
    <s v="High Value"/>
  </r>
  <r>
    <s v="Nashik"/>
    <x v="0"/>
    <x v="4"/>
    <n v="11"/>
    <n v="950"/>
    <n v="0.1"/>
    <n v="9405"/>
    <n v="5720"/>
    <n v="3685"/>
    <s v="Net Banking"/>
    <s v="Ananya"/>
    <s v="New"/>
    <n v="0.391812865497076"/>
    <s v="Good Profit"/>
    <s v="High Value"/>
  </r>
  <r>
    <s v="Guwahati"/>
    <x v="1"/>
    <x v="2"/>
    <n v="6"/>
    <n v="550"/>
    <n v="0.15"/>
    <n v="2805"/>
    <n v="1800"/>
    <n v="1005"/>
    <s v="Credit Card"/>
    <s v="Rohan"/>
    <s v="New"/>
    <n v="0.35828877005347592"/>
    <s v="Good Profit"/>
    <s v="Normal"/>
  </r>
  <r>
    <s v="Chandigarh"/>
    <x v="2"/>
    <x v="16"/>
    <n v="12"/>
    <n v="380"/>
    <n v="0.2"/>
    <n v="3648"/>
    <n v="3000"/>
    <n v="648"/>
    <s v="Debit Card"/>
    <s v="Meera"/>
    <s v="New"/>
    <n v="0.17763157894736842"/>
    <s v="Good Profit"/>
    <s v="Normal"/>
  </r>
  <r>
    <s v="Chandigarh"/>
    <x v="1"/>
    <x v="2"/>
    <n v="10"/>
    <n v="550"/>
    <n v="0.2"/>
    <n v="4400"/>
    <n v="3000"/>
    <n v="1400"/>
    <s v="Cash"/>
    <s v="Ananya"/>
    <s v="New"/>
    <n v="0.31818181818181818"/>
    <s v="Good Profit"/>
    <s v="Normal"/>
  </r>
  <r>
    <s v="Patna"/>
    <x v="1"/>
    <x v="2"/>
    <n v="4"/>
    <n v="550"/>
    <n v="0.1"/>
    <n v="1980"/>
    <n v="1200"/>
    <n v="780"/>
    <s v="Debit Card"/>
    <s v="Kabir"/>
    <s v="Corporate"/>
    <n v="0.39393939393939392"/>
    <s v="Good Profit"/>
    <s v="Normal"/>
  </r>
  <r>
    <s v="Delhi"/>
    <x v="0"/>
    <x v="12"/>
    <n v="2"/>
    <n v="7800"/>
    <n v="0.05"/>
    <n v="14820"/>
    <n v="11000"/>
    <n v="3820"/>
    <s v="Cash"/>
    <s v="Meera"/>
    <s v="Corporate"/>
    <n v="0.25775978407557354"/>
    <s v="Good Profit"/>
    <s v="High Value"/>
  </r>
  <r>
    <s v="Guwahati"/>
    <x v="2"/>
    <x v="14"/>
    <n v="2"/>
    <n v="250"/>
    <n v="0.1"/>
    <n v="450"/>
    <n v="260"/>
    <n v="190"/>
    <s v="Cash"/>
    <s v="Meera"/>
    <s v="Returning"/>
    <n v="0.42222222222222222"/>
    <s v="Low Profit"/>
    <s v="Normal"/>
  </r>
  <r>
    <s v="Chandigarh"/>
    <x v="0"/>
    <x v="10"/>
    <n v="6"/>
    <n v="1600"/>
    <n v="0.15"/>
    <n v="8160"/>
    <n v="5700"/>
    <n v="2460"/>
    <s v="Debit Card"/>
    <s v="Ananya"/>
    <s v="Corporate"/>
    <n v="0.3014705882352941"/>
    <s v="Good Profit"/>
    <s v="High Value"/>
  </r>
  <r>
    <s v="Patna"/>
    <x v="2"/>
    <x v="11"/>
    <n v="4"/>
    <n v="450"/>
    <n v="0"/>
    <n v="1800"/>
    <n v="960"/>
    <n v="840"/>
    <s v="Debit Card"/>
    <s v="Diya"/>
    <s v="Corporate"/>
    <n v="0.46666666666666667"/>
    <s v="Good Profit"/>
    <s v="Normal"/>
  </r>
  <r>
    <s v="Chennai"/>
    <x v="1"/>
    <x v="13"/>
    <n v="8"/>
    <n v="1200"/>
    <n v="0.1"/>
    <n v="8640"/>
    <n v="5600"/>
    <n v="3040"/>
    <s v="Net Banking"/>
    <s v="Kabir"/>
    <s v="New"/>
    <n v="0.35185185185185186"/>
    <s v="Good Profit"/>
    <s v="High Value"/>
  </r>
  <r>
    <s v="Hyderabad"/>
    <x v="1"/>
    <x v="3"/>
    <n v="3"/>
    <n v="1800"/>
    <n v="0.1"/>
    <n v="4860"/>
    <n v="3450"/>
    <n v="1410"/>
    <s v="Net Banking"/>
    <s v="Ishaan"/>
    <s v="Returning"/>
    <n v="0.29012345679012347"/>
    <s v="Good Profit"/>
    <s v="Normal"/>
  </r>
  <r>
    <s v="Mumbai"/>
    <x v="0"/>
    <x v="0"/>
    <n v="12"/>
    <n v="5400"/>
    <n v="0.05"/>
    <n v="61560"/>
    <n v="43200"/>
    <n v="18360"/>
    <s v="Cash"/>
    <s v="Diya"/>
    <s v="New"/>
    <n v="0.2982456140350877"/>
    <s v="Good Profit"/>
    <s v="High Value"/>
  </r>
  <r>
    <s v="Chandigarh"/>
    <x v="2"/>
    <x v="16"/>
    <n v="6"/>
    <n v="380"/>
    <n v="0.05"/>
    <n v="2166"/>
    <n v="1500"/>
    <n v="666"/>
    <s v="Debit Card"/>
    <s v="Sara"/>
    <s v="New"/>
    <n v="0.30747922437673131"/>
    <s v="Good Profit"/>
    <s v="Normal"/>
  </r>
  <r>
    <s v="Nagpur"/>
    <x v="2"/>
    <x v="14"/>
    <n v="10"/>
    <n v="250"/>
    <n v="0"/>
    <n v="2500"/>
    <n v="1300"/>
    <n v="1200"/>
    <s v="Credit Card"/>
    <s v="Kabir"/>
    <s v="New"/>
    <n v="0.48"/>
    <s v="Good Profit"/>
    <s v="Normal"/>
  </r>
  <r>
    <s v="Bengaluru"/>
    <x v="0"/>
    <x v="4"/>
    <n v="10"/>
    <n v="950"/>
    <n v="0.2"/>
    <n v="7600"/>
    <n v="5200"/>
    <n v="2400"/>
    <s v="Credit Card"/>
    <s v="Rohan"/>
    <s v="Returning"/>
    <n v="0.31578947368421051"/>
    <s v="Good Profit"/>
    <s v="High Value"/>
  </r>
  <r>
    <s v="Patna"/>
    <x v="0"/>
    <x v="4"/>
    <n v="5"/>
    <n v="950"/>
    <n v="0.2"/>
    <n v="3800"/>
    <n v="2600"/>
    <n v="1200"/>
    <s v="UPI"/>
    <s v="Diya"/>
    <s v="New"/>
    <n v="0.31578947368421051"/>
    <s v="Good Profit"/>
    <s v="Normal"/>
  </r>
  <r>
    <s v="Hyderabad"/>
    <x v="0"/>
    <x v="5"/>
    <n v="3"/>
    <n v="6200"/>
    <n v="0.05"/>
    <n v="17670"/>
    <n v="12900"/>
    <n v="4770"/>
    <s v="Net Banking"/>
    <s v="Diya"/>
    <s v="New"/>
    <n v="0.2699490662139219"/>
    <s v="Good Profit"/>
    <s v="High Value"/>
  </r>
  <r>
    <s v="Nagpur"/>
    <x v="2"/>
    <x v="6"/>
    <n v="10"/>
    <n v="90"/>
    <n v="0.15"/>
    <n v="765"/>
    <n v="400"/>
    <n v="365"/>
    <s v="UPI"/>
    <s v="Meera"/>
    <s v="Returning"/>
    <n v="0.47712418300653597"/>
    <s v="Low Profit"/>
    <s v="Normal"/>
  </r>
  <r>
    <s v="Chandigarh"/>
    <x v="1"/>
    <x v="13"/>
    <n v="4"/>
    <n v="1200"/>
    <n v="0.1"/>
    <n v="4320"/>
    <n v="2800"/>
    <n v="1520"/>
    <s v="Net Banking"/>
    <s v="Meera"/>
    <s v="Returning"/>
    <n v="0.35185185185185186"/>
    <s v="Good Profit"/>
    <s v="Normal"/>
  </r>
  <r>
    <s v="Pune"/>
    <x v="0"/>
    <x v="12"/>
    <n v="5"/>
    <n v="7800"/>
    <n v="0.05"/>
    <n v="37050"/>
    <n v="27500"/>
    <n v="9550"/>
    <s v="UPI"/>
    <s v="Ishaan"/>
    <s v="Returning"/>
    <n v="0.25775978407557354"/>
    <s v="Good Profit"/>
    <s v="High Value"/>
  </r>
  <r>
    <s v="Chandigarh"/>
    <x v="1"/>
    <x v="2"/>
    <n v="12"/>
    <n v="550"/>
    <n v="0.1"/>
    <n v="5940"/>
    <n v="3600"/>
    <n v="2340"/>
    <s v="Cash"/>
    <s v="Kabir"/>
    <s v="Corporate"/>
    <n v="0.39393939393939392"/>
    <s v="Good Profit"/>
    <s v="High Value"/>
  </r>
  <r>
    <s v="Guwahati"/>
    <x v="1"/>
    <x v="15"/>
    <n v="1"/>
    <n v="9500"/>
    <n v="0.15"/>
    <n v="8075"/>
    <n v="7200"/>
    <n v="875"/>
    <s v="Net Banking"/>
    <s v="Kabir"/>
    <s v="New"/>
    <n v="0.10835913312693499"/>
    <s v="Good Profit"/>
    <s v="Normal"/>
  </r>
  <r>
    <s v="Pune"/>
    <x v="0"/>
    <x v="10"/>
    <n v="10"/>
    <n v="1600"/>
    <n v="0"/>
    <n v="16000"/>
    <n v="9500"/>
    <n v="6500"/>
    <s v="Debit Card"/>
    <s v="Aarav"/>
    <s v="New"/>
    <n v="0.40625"/>
    <s v="Good Profit"/>
    <s v="High Value"/>
  </r>
  <r>
    <s v="Guwahati"/>
    <x v="2"/>
    <x v="8"/>
    <n v="10"/>
    <n v="120"/>
    <n v="0.15"/>
    <n v="1020"/>
    <n v="550"/>
    <n v="470"/>
    <s v="Cash"/>
    <s v="Diya"/>
    <s v="Returning"/>
    <n v="0.46078431372549017"/>
    <s v="Low Profit"/>
    <s v="Normal"/>
  </r>
  <r>
    <s v="Chandigarh"/>
    <x v="2"/>
    <x v="11"/>
    <n v="11"/>
    <n v="450"/>
    <n v="0"/>
    <n v="4950"/>
    <n v="2640"/>
    <n v="2310"/>
    <s v="Debit Card"/>
    <s v="Rohan"/>
    <s v="Corporate"/>
    <n v="0.46666666666666667"/>
    <s v="Good Profit"/>
    <s v="Normal"/>
  </r>
  <r>
    <s v="Patna"/>
    <x v="0"/>
    <x v="4"/>
    <n v="9"/>
    <n v="950"/>
    <n v="0"/>
    <n v="8550"/>
    <n v="4680"/>
    <n v="3870"/>
    <s v="UPI"/>
    <s v="Ananya"/>
    <s v="Returning"/>
    <n v="0.45263157894736844"/>
    <s v="Good Profit"/>
    <s v="High Value"/>
  </r>
  <r>
    <s v="Delhi"/>
    <x v="2"/>
    <x v="17"/>
    <n v="1"/>
    <n v="180"/>
    <n v="0.2"/>
    <n v="144"/>
    <n v="90"/>
    <n v="54"/>
    <s v="Cash"/>
    <s v="Aarav"/>
    <s v="New"/>
    <n v="0.375"/>
    <s v="Low Profit"/>
    <s v="Normal"/>
  </r>
  <r>
    <s v="Chandigarh"/>
    <x v="0"/>
    <x v="4"/>
    <n v="1"/>
    <n v="950"/>
    <n v="0.05"/>
    <n v="902.5"/>
    <n v="520"/>
    <n v="382.5"/>
    <s v="Net Banking"/>
    <s v="Ishaan"/>
    <s v="Returning"/>
    <n v="0.42382271468144045"/>
    <s v="Low Profit"/>
    <s v="Normal"/>
  </r>
  <r>
    <s v="Guwahati"/>
    <x v="1"/>
    <x v="1"/>
    <n v="11"/>
    <n v="650"/>
    <n v="0.2"/>
    <n v="5720"/>
    <n v="4180"/>
    <n v="1540"/>
    <s v="Credit Card"/>
    <s v="Kabir"/>
    <s v="Corporate"/>
    <n v="0.26923076923076922"/>
    <s v="Good Profit"/>
    <s v="High Value"/>
  </r>
  <r>
    <s v="Nagpur"/>
    <x v="1"/>
    <x v="9"/>
    <n v="2"/>
    <n v="950"/>
    <n v="0.15"/>
    <n v="1615"/>
    <n v="1140"/>
    <n v="475"/>
    <s v="Credit Card"/>
    <s v="Sara"/>
    <s v="Corporate"/>
    <n v="0.29411764705882354"/>
    <s v="Low Profit"/>
    <s v="Normal"/>
  </r>
  <r>
    <s v="Lucknow"/>
    <x v="2"/>
    <x v="16"/>
    <n v="8"/>
    <n v="380"/>
    <n v="0.05"/>
    <n v="2888"/>
    <n v="2000"/>
    <n v="888"/>
    <s v="Net Banking"/>
    <s v="Ishaan"/>
    <s v="Returning"/>
    <n v="0.30747922437673131"/>
    <s v="Good Profit"/>
    <s v="Normal"/>
  </r>
  <r>
    <s v="Chennai"/>
    <x v="1"/>
    <x v="3"/>
    <n v="7"/>
    <n v="1800"/>
    <n v="0.1"/>
    <n v="11340"/>
    <n v="8050"/>
    <n v="3290"/>
    <s v="Debit Card"/>
    <s v="Aarav"/>
    <s v="Returning"/>
    <n v="0.29012345679012347"/>
    <s v="Good Profit"/>
    <s v="High Value"/>
  </r>
  <r>
    <s v="Chandigarh"/>
    <x v="1"/>
    <x v="2"/>
    <n v="9"/>
    <n v="550"/>
    <n v="0.15"/>
    <n v="4207.5"/>
    <n v="2700"/>
    <n v="1507.5"/>
    <s v="Debit Card"/>
    <s v="Rohan"/>
    <s v="Returning"/>
    <n v="0.35828877005347592"/>
    <s v="Good Profit"/>
    <s v="Normal"/>
  </r>
  <r>
    <s v="Jaipur"/>
    <x v="0"/>
    <x v="12"/>
    <n v="10"/>
    <n v="7800"/>
    <n v="0.15"/>
    <n v="66300"/>
    <n v="55000"/>
    <n v="11300"/>
    <s v="Cash"/>
    <s v="Aarav"/>
    <s v="Returning"/>
    <n v="0.17043740573152338"/>
    <s v="Good Profit"/>
    <s v="High Value"/>
  </r>
  <r>
    <s v="Guwahati"/>
    <x v="2"/>
    <x v="6"/>
    <n v="11"/>
    <n v="90"/>
    <n v="0.05"/>
    <n v="940.5"/>
    <n v="440"/>
    <n v="500.5"/>
    <s v="UPI"/>
    <s v="Ishaan"/>
    <s v="Corporate"/>
    <n v="0.53216374269005851"/>
    <s v="Good Profit"/>
    <s v="Normal"/>
  </r>
  <r>
    <s v="Delhi"/>
    <x v="2"/>
    <x v="14"/>
    <n v="9"/>
    <n v="250"/>
    <n v="0.15"/>
    <n v="1912.5"/>
    <n v="1170"/>
    <n v="742.5"/>
    <s v="Credit Card"/>
    <s v="Rohan"/>
    <s v="Corporate"/>
    <n v="0.38823529411764707"/>
    <s v="Good Profit"/>
    <s v="Normal"/>
  </r>
  <r>
    <s v="Bengaluru"/>
    <x v="2"/>
    <x v="11"/>
    <n v="6"/>
    <n v="450"/>
    <n v="0.2"/>
    <n v="2160"/>
    <n v="1440"/>
    <n v="720"/>
    <s v="Cash"/>
    <s v="Diya"/>
    <s v="Returning"/>
    <n v="0.33333333333333331"/>
    <s v="Good Profit"/>
    <s v="Normal"/>
  </r>
  <r>
    <s v="Patna"/>
    <x v="0"/>
    <x v="7"/>
    <n v="8"/>
    <n v="8900"/>
    <n v="0.2"/>
    <n v="56960"/>
    <n v="51200"/>
    <n v="5760"/>
    <s v="Net Banking"/>
    <s v="Diya"/>
    <s v="New"/>
    <n v="0.10112359550561797"/>
    <s v="Good Profit"/>
    <s v="High Value"/>
  </r>
  <r>
    <s v="Jaipur"/>
    <x v="0"/>
    <x v="5"/>
    <n v="7"/>
    <n v="6200"/>
    <n v="0"/>
    <n v="43400"/>
    <n v="30100"/>
    <n v="13300"/>
    <s v="UPI"/>
    <s v="Sara"/>
    <s v="New"/>
    <n v="0.30645161290322581"/>
    <s v="Good Profit"/>
    <s v="High Value"/>
  </r>
  <r>
    <s v="Delhi"/>
    <x v="1"/>
    <x v="3"/>
    <n v="1"/>
    <n v="1800"/>
    <n v="0.1"/>
    <n v="1620"/>
    <n v="1150"/>
    <n v="470"/>
    <s v="Debit Card"/>
    <s v="Rohan"/>
    <s v="New"/>
    <n v="0.29012345679012347"/>
    <s v="Low Profit"/>
    <s v="Normal"/>
  </r>
  <r>
    <s v="Mysuru"/>
    <x v="0"/>
    <x v="7"/>
    <n v="3"/>
    <n v="8900"/>
    <n v="0.05"/>
    <n v="25365"/>
    <n v="19200"/>
    <n v="6165"/>
    <s v="UPI"/>
    <s v="Rohan"/>
    <s v="Corporate"/>
    <n v="0.24305144884683619"/>
    <s v="Good Profit"/>
    <s v="High Value"/>
  </r>
  <r>
    <s v="Mysuru"/>
    <x v="0"/>
    <x v="12"/>
    <n v="4"/>
    <n v="7800"/>
    <n v="0.15"/>
    <n v="26520"/>
    <n v="22000"/>
    <n v="4520"/>
    <s v="Debit Card"/>
    <s v="Sara"/>
    <s v="Returning"/>
    <n v="0.17043740573152338"/>
    <s v="Good Profit"/>
    <s v="High Value"/>
  </r>
  <r>
    <s v="Nagpur"/>
    <x v="2"/>
    <x v="6"/>
    <n v="9"/>
    <n v="90"/>
    <n v="0.05"/>
    <n v="769.5"/>
    <n v="360"/>
    <n v="409.5"/>
    <s v="Cash"/>
    <s v="Ananya"/>
    <s v="Corporate"/>
    <n v="0.53216374269005851"/>
    <s v="Low Profit"/>
    <s v="Normal"/>
  </r>
  <r>
    <s v="Chandigarh"/>
    <x v="0"/>
    <x v="0"/>
    <n v="8"/>
    <n v="5400"/>
    <n v="0.1"/>
    <n v="38880"/>
    <n v="28800"/>
    <n v="10080"/>
    <s v="Cash"/>
    <s v="Sara"/>
    <s v="New"/>
    <n v="0.25925925925925924"/>
    <s v="Good Profit"/>
    <s v="High Value"/>
  </r>
  <r>
    <s v="Mysuru"/>
    <x v="0"/>
    <x v="0"/>
    <n v="10"/>
    <n v="5400"/>
    <n v="0.1"/>
    <n v="48600"/>
    <n v="36000"/>
    <n v="12600"/>
    <s v="Debit Card"/>
    <s v="Aarav"/>
    <s v="Corporate"/>
    <n v="0.25925925925925924"/>
    <s v="Good Profit"/>
    <s v="High Value"/>
  </r>
  <r>
    <s v="Patna"/>
    <x v="1"/>
    <x v="15"/>
    <n v="11"/>
    <n v="9500"/>
    <n v="0"/>
    <n v="104500"/>
    <n v="79200"/>
    <n v="25300"/>
    <s v="Cash"/>
    <s v="Kabir"/>
    <s v="New"/>
    <n v="0.24210526315789474"/>
    <s v="Good Profit"/>
    <s v="High Value"/>
  </r>
  <r>
    <s v="Jaipur"/>
    <x v="0"/>
    <x v="12"/>
    <n v="10"/>
    <n v="7800"/>
    <n v="0.1"/>
    <n v="70200"/>
    <n v="55000"/>
    <n v="15200"/>
    <s v="Credit Card"/>
    <s v="Diya"/>
    <s v="Corporate"/>
    <n v="0.21652421652421652"/>
    <s v="Good Profit"/>
    <s v="High Value"/>
  </r>
  <r>
    <s v="Nashik"/>
    <x v="2"/>
    <x v="14"/>
    <n v="10"/>
    <n v="250"/>
    <n v="0.1"/>
    <n v="2250"/>
    <n v="1300"/>
    <n v="950"/>
    <s v="UPI"/>
    <s v="Kabir"/>
    <s v="Returning"/>
    <n v="0.42222222222222222"/>
    <s v="Good Profit"/>
    <s v="Normal"/>
  </r>
  <r>
    <s v="Bhubaneswar"/>
    <x v="1"/>
    <x v="9"/>
    <n v="9"/>
    <n v="950"/>
    <n v="0.1"/>
    <n v="7695"/>
    <n v="5130"/>
    <n v="2565"/>
    <s v="Net Banking"/>
    <s v="Kabir"/>
    <s v="New"/>
    <n v="0.33333333333333331"/>
    <s v="Good Profit"/>
    <s v="High Value"/>
  </r>
  <r>
    <s v="Chandigarh"/>
    <x v="2"/>
    <x v="6"/>
    <n v="6"/>
    <n v="90"/>
    <n v="0"/>
    <n v="540"/>
    <n v="240"/>
    <n v="300"/>
    <s v="UPI"/>
    <s v="Ishaan"/>
    <s v="New"/>
    <n v="0.55555555555555558"/>
    <s v="Low Profit"/>
    <s v="Normal"/>
  </r>
  <r>
    <s v="Patna"/>
    <x v="1"/>
    <x v="2"/>
    <n v="1"/>
    <n v="550"/>
    <n v="0.1"/>
    <n v="495"/>
    <n v="300"/>
    <n v="195"/>
    <s v="UPI"/>
    <s v="Sara"/>
    <s v="Returning"/>
    <n v="0.39393939393939392"/>
    <s v="Low Profit"/>
    <s v="Normal"/>
  </r>
  <r>
    <s v="Chandigarh"/>
    <x v="0"/>
    <x v="0"/>
    <n v="2"/>
    <n v="5400"/>
    <n v="0.05"/>
    <n v="10260"/>
    <n v="7200"/>
    <n v="3060"/>
    <s v="UPI"/>
    <s v="Ananya"/>
    <s v="Corporate"/>
    <n v="0.2982456140350877"/>
    <s v="Good Profit"/>
    <s v="High Value"/>
  </r>
  <r>
    <s v="Bengaluru"/>
    <x v="0"/>
    <x v="4"/>
    <n v="12"/>
    <n v="950"/>
    <n v="0.1"/>
    <n v="10260"/>
    <n v="6240"/>
    <n v="4020"/>
    <s v="Cash"/>
    <s v="Diya"/>
    <s v="New"/>
    <n v="0.391812865497076"/>
    <s v="Good Profit"/>
    <s v="High Value"/>
  </r>
  <r>
    <s v="Mumbai"/>
    <x v="2"/>
    <x v="16"/>
    <n v="2"/>
    <n v="380"/>
    <n v="0"/>
    <n v="760"/>
    <n v="500"/>
    <n v="260"/>
    <s v="Net Banking"/>
    <s v="Ishaan"/>
    <s v="Returning"/>
    <n v="0.34210526315789475"/>
    <s v="Low Profit"/>
    <s v="Normal"/>
  </r>
  <r>
    <s v="Patna"/>
    <x v="0"/>
    <x v="7"/>
    <n v="12"/>
    <n v="8900"/>
    <n v="0.2"/>
    <n v="85440"/>
    <n v="76800"/>
    <n v="8640"/>
    <s v="Net Banking"/>
    <s v="Ishaan"/>
    <s v="Returning"/>
    <n v="0.10112359550561797"/>
    <s v="Good Profit"/>
    <s v="High Value"/>
  </r>
  <r>
    <s v="Nagpur"/>
    <x v="0"/>
    <x v="4"/>
    <n v="5"/>
    <n v="950"/>
    <n v="0"/>
    <n v="4750"/>
    <n v="2600"/>
    <n v="2150"/>
    <s v="Debit Card"/>
    <s v="Meera"/>
    <s v="Returning"/>
    <n v="0.45263157894736844"/>
    <s v="Good Profit"/>
    <s v="Normal"/>
  </r>
  <r>
    <s v="Bhubaneswar"/>
    <x v="2"/>
    <x v="14"/>
    <n v="11"/>
    <n v="250"/>
    <n v="0.1"/>
    <n v="2475"/>
    <n v="1430"/>
    <n v="1045"/>
    <s v="Debit Card"/>
    <s v="Aarav"/>
    <s v="Returning"/>
    <n v="0.42222222222222222"/>
    <s v="Good Profit"/>
    <s v="Normal"/>
  </r>
  <r>
    <s v="Jaipur"/>
    <x v="1"/>
    <x v="2"/>
    <n v="2"/>
    <n v="550"/>
    <n v="0.05"/>
    <n v="1045"/>
    <n v="600"/>
    <n v="445"/>
    <s v="Net Banking"/>
    <s v="Aarav"/>
    <s v="New"/>
    <n v="0.42583732057416268"/>
    <s v="Low Profit"/>
    <s v="Normal"/>
  </r>
  <r>
    <s v="Jaipur"/>
    <x v="1"/>
    <x v="15"/>
    <n v="4"/>
    <n v="9500"/>
    <n v="0"/>
    <n v="38000"/>
    <n v="28800"/>
    <n v="9200"/>
    <s v="Credit Card"/>
    <s v="Meera"/>
    <s v="New"/>
    <n v="0.24210526315789474"/>
    <s v="Good Profit"/>
    <s v="High Value"/>
  </r>
  <r>
    <s v="Jaipur"/>
    <x v="0"/>
    <x v="5"/>
    <n v="5"/>
    <n v="6200"/>
    <n v="0.05"/>
    <n v="29450"/>
    <n v="21500"/>
    <n v="7950"/>
    <s v="Net Banking"/>
    <s v="Kabir"/>
    <s v="New"/>
    <n v="0.2699490662139219"/>
    <s v="Good Profit"/>
    <s v="High Value"/>
  </r>
  <r>
    <s v="Mumbai"/>
    <x v="1"/>
    <x v="1"/>
    <n v="6"/>
    <n v="650"/>
    <n v="0.05"/>
    <n v="3705"/>
    <n v="2280"/>
    <n v="1425"/>
    <s v="Debit Card"/>
    <s v="Aarav"/>
    <s v="New"/>
    <n v="0.38461538461538464"/>
    <s v="Good Profit"/>
    <s v="Normal"/>
  </r>
  <r>
    <s v="Delhi"/>
    <x v="1"/>
    <x v="13"/>
    <n v="7"/>
    <n v="1200"/>
    <n v="0.2"/>
    <n v="6720"/>
    <n v="4900"/>
    <n v="1820"/>
    <s v="UPI"/>
    <s v="Sara"/>
    <s v="Returning"/>
    <n v="0.27083333333333331"/>
    <s v="Good Profit"/>
    <s v="High Value"/>
  </r>
  <r>
    <s v="Delhi"/>
    <x v="2"/>
    <x v="17"/>
    <n v="4"/>
    <n v="180"/>
    <n v="0.2"/>
    <n v="576"/>
    <n v="360"/>
    <n v="216"/>
    <s v="Net Banking"/>
    <s v="Kabir"/>
    <s v="Returning"/>
    <n v="0.375"/>
    <s v="Low Profit"/>
    <s v="Normal"/>
  </r>
  <r>
    <s v="Mumbai"/>
    <x v="2"/>
    <x v="16"/>
    <n v="7"/>
    <n v="380"/>
    <n v="0"/>
    <n v="2660"/>
    <n v="1750"/>
    <n v="910"/>
    <s v="Cash"/>
    <s v="Diya"/>
    <s v="New"/>
    <n v="0.34210526315789475"/>
    <s v="Good Profit"/>
    <s v="Normal"/>
  </r>
  <r>
    <s v="Jaipur"/>
    <x v="1"/>
    <x v="9"/>
    <n v="5"/>
    <n v="950"/>
    <n v="0.2"/>
    <n v="3800"/>
    <n v="2850"/>
    <n v="950"/>
    <s v="Net Banking"/>
    <s v="Ananya"/>
    <s v="Returning"/>
    <n v="0.25"/>
    <s v="Good Profit"/>
    <s v="Normal"/>
  </r>
  <r>
    <s v="Chandigarh"/>
    <x v="0"/>
    <x v="10"/>
    <n v="7"/>
    <n v="1600"/>
    <n v="0"/>
    <n v="11200"/>
    <n v="6650"/>
    <n v="4550"/>
    <s v="UPI"/>
    <s v="Meera"/>
    <s v="Returning"/>
    <n v="0.40625"/>
    <s v="Good Profit"/>
    <s v="High Value"/>
  </r>
  <r>
    <s v="Bhubaneswar"/>
    <x v="2"/>
    <x v="11"/>
    <n v="8"/>
    <n v="450"/>
    <n v="0.15"/>
    <n v="3060"/>
    <n v="1920"/>
    <n v="1140"/>
    <s v="UPI"/>
    <s v="Ananya"/>
    <s v="Returning"/>
    <n v="0.37254901960784315"/>
    <s v="Good Profit"/>
    <s v="Normal"/>
  </r>
  <r>
    <s v="Lucknow"/>
    <x v="2"/>
    <x v="8"/>
    <n v="11"/>
    <n v="120"/>
    <n v="0.15"/>
    <n v="1122"/>
    <n v="605"/>
    <n v="517"/>
    <s v="UPI"/>
    <s v="Diya"/>
    <s v="New"/>
    <n v="0.46078431372549017"/>
    <s v="Good Profit"/>
    <s v="Normal"/>
  </r>
  <r>
    <s v="Kolkata"/>
    <x v="0"/>
    <x v="7"/>
    <n v="6"/>
    <n v="8900"/>
    <n v="0.05"/>
    <n v="50730"/>
    <n v="38400"/>
    <n v="12330"/>
    <s v="UPI"/>
    <s v="Ananya"/>
    <s v="Corporate"/>
    <n v="0.24305144884683619"/>
    <s v="Good Profit"/>
    <s v="High Value"/>
  </r>
  <r>
    <s v="Nagpur"/>
    <x v="2"/>
    <x v="6"/>
    <n v="7"/>
    <n v="90"/>
    <n v="0"/>
    <n v="630"/>
    <n v="280"/>
    <n v="350"/>
    <s v="Net Banking"/>
    <s v="Kabir"/>
    <s v="Returning"/>
    <n v="0.55555555555555558"/>
    <s v="Low Profit"/>
    <s v="Normal"/>
  </r>
  <r>
    <s v="Pune"/>
    <x v="1"/>
    <x v="13"/>
    <n v="8"/>
    <n v="1200"/>
    <n v="0.05"/>
    <n v="9120"/>
    <n v="5600"/>
    <n v="3520"/>
    <s v="Debit Card"/>
    <s v="Ananya"/>
    <s v="New"/>
    <n v="0.38596491228070173"/>
    <s v="Good Profit"/>
    <s v="High Value"/>
  </r>
  <r>
    <s v="Jaipur"/>
    <x v="2"/>
    <x v="17"/>
    <n v="10"/>
    <n v="180"/>
    <n v="0.2"/>
    <n v="1440"/>
    <n v="900"/>
    <n v="540"/>
    <s v="Net Banking"/>
    <s v="Aarav"/>
    <s v="Corporate"/>
    <n v="0.375"/>
    <s v="Good Profit"/>
    <s v="Normal"/>
  </r>
  <r>
    <s v="Delhi"/>
    <x v="1"/>
    <x v="3"/>
    <n v="12"/>
    <n v="1800"/>
    <n v="0.1"/>
    <n v="19440"/>
    <n v="13800"/>
    <n v="5640"/>
    <s v="Debit Card"/>
    <s v="Aarav"/>
    <s v="New"/>
    <n v="0.29012345679012347"/>
    <s v="Good Profit"/>
    <s v="High Value"/>
  </r>
  <r>
    <s v="Mysuru"/>
    <x v="1"/>
    <x v="9"/>
    <n v="12"/>
    <n v="950"/>
    <n v="0"/>
    <n v="11400"/>
    <n v="6840"/>
    <n v="4560"/>
    <s v="Net Banking"/>
    <s v="Meera"/>
    <s v="Returning"/>
    <n v="0.4"/>
    <s v="Good Profit"/>
    <s v="High Value"/>
  </r>
  <r>
    <s v="Guwahati"/>
    <x v="2"/>
    <x v="8"/>
    <n v="6"/>
    <n v="120"/>
    <n v="0.1"/>
    <n v="648"/>
    <n v="330"/>
    <n v="318"/>
    <s v="Net Banking"/>
    <s v="Diya"/>
    <s v="New"/>
    <n v="0.49074074074074076"/>
    <s v="Low Profit"/>
    <s v="Normal"/>
  </r>
  <r>
    <s v="Chennai"/>
    <x v="0"/>
    <x v="5"/>
    <n v="11"/>
    <n v="6200"/>
    <n v="0"/>
    <n v="68200"/>
    <n v="47300"/>
    <n v="20900"/>
    <s v="Cash"/>
    <s v="Rohan"/>
    <s v="Returning"/>
    <n v="0.30645161290322581"/>
    <s v="Good Profit"/>
    <s v="High Value"/>
  </r>
  <r>
    <s v="Guwahati"/>
    <x v="2"/>
    <x v="8"/>
    <n v="9"/>
    <n v="120"/>
    <n v="0"/>
    <n v="1080"/>
    <n v="495"/>
    <n v="585"/>
    <s v="Cash"/>
    <s v="Diya"/>
    <s v="Returning"/>
    <n v="0.54166666666666663"/>
    <s v="Good Profit"/>
    <s v="Normal"/>
  </r>
  <r>
    <s v="Patna"/>
    <x v="1"/>
    <x v="9"/>
    <n v="7"/>
    <n v="950"/>
    <n v="0.2"/>
    <n v="5320"/>
    <n v="3990"/>
    <n v="1330"/>
    <s v="UPI"/>
    <s v="Meera"/>
    <s v="Returning"/>
    <n v="0.25"/>
    <s v="Good Profit"/>
    <s v="High Value"/>
  </r>
  <r>
    <s v="Chennai"/>
    <x v="2"/>
    <x v="11"/>
    <n v="6"/>
    <n v="450"/>
    <n v="0"/>
    <n v="2700"/>
    <n v="1440"/>
    <n v="1260"/>
    <s v="Cash"/>
    <s v="Rohan"/>
    <s v="New"/>
    <n v="0.46666666666666667"/>
    <s v="Good Profit"/>
    <s v="Normal"/>
  </r>
  <r>
    <s v="Mysuru"/>
    <x v="0"/>
    <x v="7"/>
    <n v="4"/>
    <n v="8900"/>
    <n v="0.2"/>
    <n v="28480"/>
    <n v="25600"/>
    <n v="2880"/>
    <s v="Debit Card"/>
    <s v="Diya"/>
    <s v="Returning"/>
    <n v="0.10112359550561797"/>
    <s v="Good Profit"/>
    <s v="High Value"/>
  </r>
  <r>
    <s v="Nagpur"/>
    <x v="1"/>
    <x v="2"/>
    <n v="2"/>
    <n v="550"/>
    <n v="0.1"/>
    <n v="990"/>
    <n v="600"/>
    <n v="390"/>
    <s v="Cash"/>
    <s v="Rohan"/>
    <s v="Corporate"/>
    <n v="0.39393939393939392"/>
    <s v="Low Profit"/>
    <s v="Normal"/>
  </r>
  <r>
    <s v="Patna"/>
    <x v="1"/>
    <x v="2"/>
    <n v="1"/>
    <n v="550"/>
    <n v="0.1"/>
    <n v="495"/>
    <n v="300"/>
    <n v="195"/>
    <s v="Net Banking"/>
    <s v="Sara"/>
    <s v="Corporate"/>
    <n v="0.39393939393939392"/>
    <s v="Low Profit"/>
    <s v="Normal"/>
  </r>
  <r>
    <s v="Delhi"/>
    <x v="2"/>
    <x v="14"/>
    <n v="4"/>
    <n v="250"/>
    <n v="0.15"/>
    <n v="850"/>
    <n v="520"/>
    <n v="330"/>
    <s v="Cash"/>
    <s v="Diya"/>
    <s v="Returning"/>
    <n v="0.38823529411764707"/>
    <s v="Low Profit"/>
    <s v="Normal"/>
  </r>
  <r>
    <s v="Lucknow"/>
    <x v="1"/>
    <x v="3"/>
    <n v="3"/>
    <n v="1800"/>
    <n v="0"/>
    <n v="5400"/>
    <n v="3450"/>
    <n v="1950"/>
    <s v="UPI"/>
    <s v="Meera"/>
    <s v="Returning"/>
    <n v="0.3611111111111111"/>
    <s v="Good Profit"/>
    <s v="High Value"/>
  </r>
  <r>
    <s v="Jaipur"/>
    <x v="1"/>
    <x v="1"/>
    <n v="3"/>
    <n v="650"/>
    <n v="0.1"/>
    <n v="1755"/>
    <n v="1140"/>
    <n v="615"/>
    <s v="Credit Card"/>
    <s v="Ishaan"/>
    <s v="Corporate"/>
    <n v="0.3504273504273504"/>
    <s v="Good Profit"/>
    <s v="Normal"/>
  </r>
  <r>
    <s v="Pune"/>
    <x v="0"/>
    <x v="4"/>
    <n v="8"/>
    <n v="950"/>
    <n v="0.2"/>
    <n v="6080"/>
    <n v="4160"/>
    <n v="1920"/>
    <s v="Cash"/>
    <s v="Ananya"/>
    <s v="Corporate"/>
    <n v="0.31578947368421051"/>
    <s v="Good Profit"/>
    <s v="High Value"/>
  </r>
  <r>
    <s v="Jaipur"/>
    <x v="2"/>
    <x v="14"/>
    <n v="8"/>
    <n v="250"/>
    <n v="0.15"/>
    <n v="1700"/>
    <n v="1040"/>
    <n v="660"/>
    <s v="Debit Card"/>
    <s v="Kabir"/>
    <s v="Corporate"/>
    <n v="0.38823529411764707"/>
    <s v="Good Profit"/>
    <s v="Normal"/>
  </r>
  <r>
    <s v="Nashik"/>
    <x v="0"/>
    <x v="5"/>
    <n v="5"/>
    <n v="6200"/>
    <n v="0.15"/>
    <n v="26350"/>
    <n v="21500"/>
    <n v="4850"/>
    <s v="UPI"/>
    <s v="Aarav"/>
    <s v="Returning"/>
    <n v="0.18406072106261859"/>
    <s v="Good Profit"/>
    <s v="High Value"/>
  </r>
  <r>
    <s v="Delhi"/>
    <x v="0"/>
    <x v="5"/>
    <n v="10"/>
    <n v="6200"/>
    <n v="0.2"/>
    <n v="49600"/>
    <n v="43000"/>
    <n v="6600"/>
    <s v="Cash"/>
    <s v="Sara"/>
    <s v="Corporate"/>
    <n v="0.13306451612903225"/>
    <s v="Good Profit"/>
    <s v="High Value"/>
  </r>
  <r>
    <s v="Nagpur"/>
    <x v="0"/>
    <x v="7"/>
    <n v="4"/>
    <n v="8900"/>
    <n v="0.1"/>
    <n v="32040"/>
    <n v="25600"/>
    <n v="6440"/>
    <s v="Cash"/>
    <s v="Ishaan"/>
    <s v="New"/>
    <n v="0.2009987515605493"/>
    <s v="Good Profit"/>
    <s v="High Value"/>
  </r>
  <r>
    <s v="Kolkata"/>
    <x v="2"/>
    <x v="6"/>
    <n v="2"/>
    <n v="90"/>
    <n v="0.2"/>
    <n v="144"/>
    <n v="80"/>
    <n v="64"/>
    <s v="Credit Card"/>
    <s v="Aarav"/>
    <s v="New"/>
    <n v="0.44444444444444442"/>
    <s v="Low Profit"/>
    <s v="Normal"/>
  </r>
  <r>
    <s v="Guwahati"/>
    <x v="0"/>
    <x v="10"/>
    <n v="10"/>
    <n v="1600"/>
    <n v="0.05"/>
    <n v="15200"/>
    <n v="9500"/>
    <n v="5700"/>
    <s v="Debit Card"/>
    <s v="Kabir"/>
    <s v="Returning"/>
    <n v="0.375"/>
    <s v="Good Profit"/>
    <s v="High Value"/>
  </r>
  <r>
    <s v="Patna"/>
    <x v="0"/>
    <x v="10"/>
    <n v="1"/>
    <n v="1600"/>
    <n v="0.1"/>
    <n v="1440"/>
    <n v="950"/>
    <n v="490"/>
    <s v="Debit Card"/>
    <s v="Diya"/>
    <s v="Corporate"/>
    <n v="0.34027777777777779"/>
    <s v="Low Profit"/>
    <s v="Normal"/>
  </r>
  <r>
    <s v="Patna"/>
    <x v="2"/>
    <x v="6"/>
    <n v="11"/>
    <n v="90"/>
    <n v="0.2"/>
    <n v="792"/>
    <n v="440"/>
    <n v="352"/>
    <s v="Debit Card"/>
    <s v="Diya"/>
    <s v="Corporate"/>
    <n v="0.44444444444444442"/>
    <s v="Low Profit"/>
    <s v="Normal"/>
  </r>
  <r>
    <s v="Hyderabad"/>
    <x v="2"/>
    <x v="6"/>
    <n v="12"/>
    <n v="90"/>
    <n v="0.15"/>
    <n v="918"/>
    <n v="480"/>
    <n v="438"/>
    <s v="Net Banking"/>
    <s v="Diya"/>
    <s v="Returning"/>
    <n v="0.47712418300653597"/>
    <s v="Low Profit"/>
    <s v="Normal"/>
  </r>
  <r>
    <s v="Patna"/>
    <x v="1"/>
    <x v="13"/>
    <n v="12"/>
    <n v="1200"/>
    <n v="0.2"/>
    <n v="11520"/>
    <n v="8400"/>
    <n v="3120"/>
    <s v="Cash"/>
    <s v="Ananya"/>
    <s v="New"/>
    <n v="0.27083333333333331"/>
    <s v="Good Profit"/>
    <s v="High Value"/>
  </r>
  <r>
    <s v="Lucknow"/>
    <x v="1"/>
    <x v="9"/>
    <n v="6"/>
    <n v="950"/>
    <n v="0.15"/>
    <n v="4845"/>
    <n v="3420"/>
    <n v="1425"/>
    <s v="Credit Card"/>
    <s v="Ishaan"/>
    <s v="New"/>
    <n v="0.29411764705882354"/>
    <s v="Good Profit"/>
    <s v="Normal"/>
  </r>
  <r>
    <s v="Nashik"/>
    <x v="1"/>
    <x v="15"/>
    <n v="9"/>
    <n v="9500"/>
    <n v="0.2"/>
    <n v="68400"/>
    <n v="64800"/>
    <n v="3600"/>
    <s v="Debit Card"/>
    <s v="Ishaan"/>
    <s v="Corporate"/>
    <n v="5.2631578947368418E-2"/>
    <s v="Good Profit"/>
    <s v="High Value"/>
  </r>
  <r>
    <s v="Bhubaneswar"/>
    <x v="1"/>
    <x v="9"/>
    <n v="12"/>
    <n v="950"/>
    <n v="0.2"/>
    <n v="9120"/>
    <n v="6840"/>
    <n v="2280"/>
    <s v="Cash"/>
    <s v="Aarav"/>
    <s v="Returning"/>
    <n v="0.25"/>
    <s v="Good Profit"/>
    <s v="High Value"/>
  </r>
  <r>
    <s v="Jaipur"/>
    <x v="2"/>
    <x v="17"/>
    <n v="5"/>
    <n v="180"/>
    <n v="0.15"/>
    <n v="765"/>
    <n v="450"/>
    <n v="315"/>
    <s v="Net Banking"/>
    <s v="Meera"/>
    <s v="Returning"/>
    <n v="0.41176470588235292"/>
    <s v="Low Profit"/>
    <s v="Normal"/>
  </r>
  <r>
    <s v="Bhubaneswar"/>
    <x v="2"/>
    <x v="6"/>
    <n v="10"/>
    <n v="90"/>
    <n v="0.15"/>
    <n v="765"/>
    <n v="400"/>
    <n v="365"/>
    <s v="Debit Card"/>
    <s v="Rohan"/>
    <s v="Corporate"/>
    <n v="0.47712418300653597"/>
    <s v="Low Profit"/>
    <s v="Normal"/>
  </r>
  <r>
    <s v="Bhubaneswar"/>
    <x v="1"/>
    <x v="15"/>
    <n v="3"/>
    <n v="9500"/>
    <n v="0.1"/>
    <n v="25650"/>
    <n v="21600"/>
    <n v="4050"/>
    <s v="Cash"/>
    <s v="Ananya"/>
    <s v="Corporate"/>
    <n v="0.15789473684210525"/>
    <s v="Good Profit"/>
    <s v="High Value"/>
  </r>
  <r>
    <s v="Mumbai"/>
    <x v="2"/>
    <x v="14"/>
    <n v="3"/>
    <n v="250"/>
    <n v="0.1"/>
    <n v="675"/>
    <n v="390"/>
    <n v="285"/>
    <s v="Net Banking"/>
    <s v="Ishaan"/>
    <s v="Returning"/>
    <n v="0.42222222222222222"/>
    <s v="Low Profit"/>
    <s v="Normal"/>
  </r>
  <r>
    <s v="Pune"/>
    <x v="2"/>
    <x v="11"/>
    <n v="1"/>
    <n v="450"/>
    <n v="0.15"/>
    <n v="382.5"/>
    <n v="240"/>
    <n v="142.5"/>
    <s v="Cash"/>
    <s v="Ananya"/>
    <s v="New"/>
    <n v="0.37254901960784315"/>
    <s v="Low Profit"/>
    <s v="Normal"/>
  </r>
  <r>
    <s v="Kolkata"/>
    <x v="2"/>
    <x v="8"/>
    <n v="1"/>
    <n v="120"/>
    <n v="0.1"/>
    <n v="108"/>
    <n v="55"/>
    <n v="53"/>
    <s v="Debit Card"/>
    <s v="Ishaan"/>
    <s v="New"/>
    <n v="0.49074074074074076"/>
    <s v="Low Profit"/>
    <s v="Normal"/>
  </r>
  <r>
    <s v="Nashik"/>
    <x v="2"/>
    <x v="6"/>
    <n v="3"/>
    <n v="90"/>
    <n v="0.15"/>
    <n v="229.5"/>
    <n v="120"/>
    <n v="109.5"/>
    <s v="Net Banking"/>
    <s v="Aarav"/>
    <s v="New"/>
    <n v="0.47712418300653597"/>
    <s v="Low Profit"/>
    <s v="Normal"/>
  </r>
  <r>
    <s v="Nashik"/>
    <x v="1"/>
    <x v="9"/>
    <n v="9"/>
    <n v="950"/>
    <n v="0.2"/>
    <n v="6840"/>
    <n v="5130"/>
    <n v="1710"/>
    <s v="Cash"/>
    <s v="Diya"/>
    <s v="Returning"/>
    <n v="0.25"/>
    <s v="Good Profit"/>
    <s v="High Value"/>
  </r>
  <r>
    <s v="Hyderabad"/>
    <x v="1"/>
    <x v="1"/>
    <n v="4"/>
    <n v="650"/>
    <n v="0.15"/>
    <n v="2210"/>
    <n v="1520"/>
    <n v="690"/>
    <s v="Net Banking"/>
    <s v="Sara"/>
    <s v="New"/>
    <n v="0.31221719457013575"/>
    <s v="Good Profit"/>
    <s v="Normal"/>
  </r>
  <r>
    <s v="Nagpur"/>
    <x v="0"/>
    <x v="10"/>
    <n v="1"/>
    <n v="1600"/>
    <n v="0.2"/>
    <n v="1280"/>
    <n v="950"/>
    <n v="330"/>
    <s v="Credit Card"/>
    <s v="Ishaan"/>
    <s v="Returning"/>
    <n v="0.2578125"/>
    <s v="Low Profit"/>
    <s v="Normal"/>
  </r>
  <r>
    <s v="Kolkata"/>
    <x v="0"/>
    <x v="0"/>
    <n v="4"/>
    <n v="5400"/>
    <n v="0.2"/>
    <n v="17280"/>
    <n v="14400"/>
    <n v="2880"/>
    <s v="Credit Card"/>
    <s v="Diya"/>
    <s v="Corporate"/>
    <n v="0.16666666666666666"/>
    <s v="Good Profit"/>
    <s v="High Value"/>
  </r>
  <r>
    <s v="Delhi"/>
    <x v="0"/>
    <x v="10"/>
    <n v="9"/>
    <n v="1600"/>
    <n v="0.2"/>
    <n v="11520"/>
    <n v="8550"/>
    <n v="2970"/>
    <s v="UPI"/>
    <s v="Rohan"/>
    <s v="Returning"/>
    <n v="0.2578125"/>
    <s v="Good Profit"/>
    <s v="High Value"/>
  </r>
  <r>
    <s v="Nagpur"/>
    <x v="2"/>
    <x v="11"/>
    <n v="12"/>
    <n v="450"/>
    <n v="0"/>
    <n v="5400"/>
    <n v="2880"/>
    <n v="2520"/>
    <s v="UPI"/>
    <s v="Ananya"/>
    <s v="New"/>
    <n v="0.46666666666666667"/>
    <s v="Good Profit"/>
    <s v="High Value"/>
  </r>
  <r>
    <s v="Nashik"/>
    <x v="1"/>
    <x v="1"/>
    <n v="6"/>
    <n v="650"/>
    <n v="0.2"/>
    <n v="3120"/>
    <n v="2280"/>
    <n v="840"/>
    <s v="Credit Card"/>
    <s v="Sara"/>
    <s v="Corporate"/>
    <n v="0.26923076923076922"/>
    <s v="Good Profit"/>
    <s v="Normal"/>
  </r>
  <r>
    <s v="Bhubaneswar"/>
    <x v="1"/>
    <x v="1"/>
    <n v="12"/>
    <n v="650"/>
    <n v="0.15"/>
    <n v="6630"/>
    <n v="4560"/>
    <n v="2070"/>
    <s v="Debit Card"/>
    <s v="Meera"/>
    <s v="New"/>
    <n v="0.31221719457013575"/>
    <s v="Good Profit"/>
    <s v="High Value"/>
  </r>
  <r>
    <s v="Bengaluru"/>
    <x v="2"/>
    <x v="11"/>
    <n v="9"/>
    <n v="450"/>
    <n v="0.15"/>
    <n v="3442.5"/>
    <n v="2160"/>
    <n v="1282.5"/>
    <s v="Cash"/>
    <s v="Kabir"/>
    <s v="New"/>
    <n v="0.37254901960784315"/>
    <s v="Good Profit"/>
    <s v="Normal"/>
  </r>
  <r>
    <s v="Hyderabad"/>
    <x v="2"/>
    <x v="14"/>
    <n v="11"/>
    <n v="250"/>
    <n v="0.1"/>
    <n v="2475"/>
    <n v="1430"/>
    <n v="1045"/>
    <s v="UPI"/>
    <s v="Ananya"/>
    <s v="Returning"/>
    <n v="0.42222222222222222"/>
    <s v="Good Profit"/>
    <s v="Normal"/>
  </r>
  <r>
    <s v="Guwahati"/>
    <x v="2"/>
    <x v="11"/>
    <n v="3"/>
    <n v="450"/>
    <n v="0.15"/>
    <n v="1147.5"/>
    <n v="720"/>
    <n v="427.5"/>
    <s v="Cash"/>
    <s v="Ananya"/>
    <s v="Corporate"/>
    <n v="0.37254901960784315"/>
    <s v="Low Profit"/>
    <s v="Normal"/>
  </r>
  <r>
    <s v="Delhi"/>
    <x v="0"/>
    <x v="4"/>
    <n v="2"/>
    <n v="950"/>
    <n v="0.15"/>
    <n v="1615"/>
    <n v="1040"/>
    <n v="575"/>
    <s v="Credit Card"/>
    <s v="Kabir"/>
    <s v="Returning"/>
    <n v="0.35603715170278638"/>
    <s v="Good Profit"/>
    <s v="Normal"/>
  </r>
  <r>
    <s v="Mumbai"/>
    <x v="2"/>
    <x v="6"/>
    <n v="5"/>
    <n v="90"/>
    <n v="0.1"/>
    <n v="405"/>
    <n v="200"/>
    <n v="205"/>
    <s v="Net Banking"/>
    <s v="Rohan"/>
    <s v="New"/>
    <n v="0.50617283950617287"/>
    <s v="Low Profit"/>
    <s v="Normal"/>
  </r>
  <r>
    <s v="Patna"/>
    <x v="2"/>
    <x v="14"/>
    <n v="12"/>
    <n v="250"/>
    <n v="0.1"/>
    <n v="2700"/>
    <n v="1560"/>
    <n v="1140"/>
    <s v="Cash"/>
    <s v="Kabir"/>
    <s v="Corporate"/>
    <n v="0.42222222222222222"/>
    <s v="Good Profit"/>
    <s v="Normal"/>
  </r>
  <r>
    <s v="Mumbai"/>
    <x v="0"/>
    <x v="7"/>
    <n v="7"/>
    <n v="8900"/>
    <n v="0.1"/>
    <n v="56070"/>
    <n v="44800"/>
    <n v="11270"/>
    <s v="Credit Card"/>
    <s v="Aarav"/>
    <s v="New"/>
    <n v="0.2009987515605493"/>
    <s v="Good Profit"/>
    <s v="High Value"/>
  </r>
  <r>
    <s v="Kolkata"/>
    <x v="1"/>
    <x v="1"/>
    <n v="4"/>
    <n v="650"/>
    <n v="0.1"/>
    <n v="2340"/>
    <n v="1520"/>
    <n v="820"/>
    <s v="Cash"/>
    <s v="Aarav"/>
    <s v="Corporate"/>
    <n v="0.3504273504273504"/>
    <s v="Good Profit"/>
    <s v="Normal"/>
  </r>
  <r>
    <s v="Mysuru"/>
    <x v="2"/>
    <x v="11"/>
    <n v="8"/>
    <n v="450"/>
    <n v="0"/>
    <n v="3600"/>
    <n v="1920"/>
    <n v="1680"/>
    <s v="Credit Card"/>
    <s v="Ananya"/>
    <s v="Returning"/>
    <n v="0.46666666666666667"/>
    <s v="Good Profit"/>
    <s v="Normal"/>
  </r>
  <r>
    <s v="Lucknow"/>
    <x v="1"/>
    <x v="1"/>
    <n v="1"/>
    <n v="650"/>
    <n v="0.05"/>
    <n v="617.5"/>
    <n v="380"/>
    <n v="237.5"/>
    <s v="Net Banking"/>
    <s v="Rohan"/>
    <s v="Corporate"/>
    <n v="0.38461538461538464"/>
    <s v="Low Profit"/>
    <s v="Normal"/>
  </r>
  <r>
    <s v="Nashik"/>
    <x v="2"/>
    <x v="6"/>
    <n v="8"/>
    <n v="90"/>
    <n v="0.05"/>
    <n v="684"/>
    <n v="320"/>
    <n v="364"/>
    <s v="Debit Card"/>
    <s v="Sara"/>
    <s v="New"/>
    <n v="0.53216374269005851"/>
    <s v="Low Profit"/>
    <s v="Normal"/>
  </r>
  <r>
    <s v="Pune"/>
    <x v="1"/>
    <x v="2"/>
    <n v="3"/>
    <n v="550"/>
    <n v="0.15"/>
    <n v="1402.5"/>
    <n v="900"/>
    <n v="502.5"/>
    <s v="Debit Card"/>
    <s v="Ananya"/>
    <s v="Corporate"/>
    <n v="0.35828877005347592"/>
    <s v="Good Profit"/>
    <s v="Normal"/>
  </r>
  <r>
    <s v="Nashik"/>
    <x v="2"/>
    <x v="8"/>
    <n v="12"/>
    <n v="120"/>
    <n v="0.05"/>
    <n v="1368"/>
    <n v="660"/>
    <n v="708"/>
    <s v="Net Banking"/>
    <s v="Meera"/>
    <s v="New"/>
    <n v="0.51754385964912286"/>
    <s v="Good Profit"/>
    <s v="Normal"/>
  </r>
  <r>
    <s v="Chennai"/>
    <x v="1"/>
    <x v="2"/>
    <n v="1"/>
    <n v="550"/>
    <n v="0.1"/>
    <n v="495"/>
    <n v="300"/>
    <n v="195"/>
    <s v="Net Banking"/>
    <s v="Ananya"/>
    <s v="Returning"/>
    <n v="0.39393939393939392"/>
    <s v="Low Profit"/>
    <s v="Normal"/>
  </r>
  <r>
    <s v="Bengaluru"/>
    <x v="1"/>
    <x v="3"/>
    <n v="7"/>
    <n v="1800"/>
    <n v="0.15"/>
    <n v="10710"/>
    <n v="8050"/>
    <n v="2660"/>
    <s v="Cash"/>
    <s v="Rohan"/>
    <s v="Corporate"/>
    <n v="0.24836601307189543"/>
    <s v="Good Profit"/>
    <s v="High Value"/>
  </r>
  <r>
    <s v="Pune"/>
    <x v="2"/>
    <x v="6"/>
    <n v="2"/>
    <n v="90"/>
    <n v="0.15"/>
    <n v="153"/>
    <n v="80"/>
    <n v="73"/>
    <s v="Net Banking"/>
    <s v="Ananya"/>
    <s v="New"/>
    <n v="0.47712418300653597"/>
    <s v="Low Profit"/>
    <s v="Normal"/>
  </r>
  <r>
    <s v="Chennai"/>
    <x v="2"/>
    <x v="17"/>
    <n v="1"/>
    <n v="180"/>
    <n v="0"/>
    <n v="180"/>
    <n v="90"/>
    <n v="90"/>
    <s v="Credit Card"/>
    <s v="Kabir"/>
    <s v="New"/>
    <n v="0.5"/>
    <s v="Low Profit"/>
    <s v="Normal"/>
  </r>
  <r>
    <s v="Hyderabad"/>
    <x v="0"/>
    <x v="12"/>
    <n v="6"/>
    <n v="7800"/>
    <n v="0.2"/>
    <n v="37440"/>
    <n v="33000"/>
    <n v="4440"/>
    <s v="UPI"/>
    <s v="Kabir"/>
    <s v="New"/>
    <n v="0.11858974358974358"/>
    <s v="Good Profit"/>
    <s v="High Value"/>
  </r>
  <r>
    <s v="Jaipur"/>
    <x v="0"/>
    <x v="0"/>
    <n v="10"/>
    <n v="5400"/>
    <n v="0.2"/>
    <n v="43200"/>
    <n v="36000"/>
    <n v="7200"/>
    <s v="Net Banking"/>
    <s v="Ishaan"/>
    <s v="Corporate"/>
    <n v="0.16666666666666666"/>
    <s v="Good Profit"/>
    <s v="High Value"/>
  </r>
  <r>
    <s v="Chennai"/>
    <x v="0"/>
    <x v="10"/>
    <n v="12"/>
    <n v="1600"/>
    <n v="0.2"/>
    <n v="15360"/>
    <n v="11400"/>
    <n v="3960"/>
    <s v="Net Banking"/>
    <s v="Aarav"/>
    <s v="New"/>
    <n v="0.2578125"/>
    <s v="Good Profit"/>
    <s v="High Value"/>
  </r>
  <r>
    <s v="Mumbai"/>
    <x v="0"/>
    <x v="10"/>
    <n v="5"/>
    <n v="1600"/>
    <n v="0.05"/>
    <n v="7600"/>
    <n v="4750"/>
    <n v="2850"/>
    <s v="Cash"/>
    <s v="Aarav"/>
    <s v="Returning"/>
    <n v="0.375"/>
    <s v="Good Profit"/>
    <s v="High Value"/>
  </r>
  <r>
    <s v="Lucknow"/>
    <x v="2"/>
    <x v="8"/>
    <n v="11"/>
    <n v="120"/>
    <n v="0.15"/>
    <n v="1122"/>
    <n v="605"/>
    <n v="517"/>
    <s v="Cash"/>
    <s v="Diya"/>
    <s v="Corporate"/>
    <n v="0.46078431372549017"/>
    <s v="Good Profit"/>
    <s v="Normal"/>
  </r>
  <r>
    <s v="Pune"/>
    <x v="2"/>
    <x v="16"/>
    <n v="8"/>
    <n v="380"/>
    <n v="0.15"/>
    <n v="2584"/>
    <n v="2000"/>
    <n v="584"/>
    <s v="Debit Card"/>
    <s v="Ishaan"/>
    <s v="Returning"/>
    <n v="0.2260061919504644"/>
    <s v="Good Profit"/>
    <s v="Normal"/>
  </r>
  <r>
    <s v="Lucknow"/>
    <x v="2"/>
    <x v="8"/>
    <n v="6"/>
    <n v="120"/>
    <n v="0.2"/>
    <n v="576"/>
    <n v="330"/>
    <n v="246"/>
    <s v="UPI"/>
    <s v="Ananya"/>
    <s v="New"/>
    <n v="0.42708333333333331"/>
    <s v="Low Profit"/>
    <s v="Normal"/>
  </r>
  <r>
    <s v="Kolkata"/>
    <x v="2"/>
    <x v="16"/>
    <n v="4"/>
    <n v="380"/>
    <n v="0.05"/>
    <n v="1444"/>
    <n v="1000"/>
    <n v="444"/>
    <s v="UPI"/>
    <s v="Kabir"/>
    <s v="Returning"/>
    <n v="0.30747922437673131"/>
    <s v="Low Profit"/>
    <s v="Normal"/>
  </r>
  <r>
    <s v="Bhubaneswar"/>
    <x v="1"/>
    <x v="3"/>
    <n v="10"/>
    <n v="1800"/>
    <n v="0.1"/>
    <n v="16200"/>
    <n v="11500"/>
    <n v="4700"/>
    <s v="Credit Card"/>
    <s v="Sara"/>
    <s v="Corporate"/>
    <n v="0.29012345679012347"/>
    <s v="Good Profit"/>
    <s v="High Value"/>
  </r>
  <r>
    <s v="Guwahati"/>
    <x v="2"/>
    <x v="16"/>
    <n v="1"/>
    <n v="380"/>
    <n v="0"/>
    <n v="380"/>
    <n v="250"/>
    <n v="130"/>
    <s v="Net Banking"/>
    <s v="Sara"/>
    <s v="New"/>
    <n v="0.34210526315789475"/>
    <s v="Low Profit"/>
    <s v="Normal"/>
  </r>
  <r>
    <s v="Hyderabad"/>
    <x v="1"/>
    <x v="1"/>
    <n v="5"/>
    <n v="650"/>
    <n v="0.15"/>
    <n v="2762.5"/>
    <n v="1900"/>
    <n v="862.5"/>
    <s v="Cash"/>
    <s v="Kabir"/>
    <s v="Corporate"/>
    <n v="0.31221719457013575"/>
    <s v="Good Profit"/>
    <s v="Normal"/>
  </r>
  <r>
    <s v="Mumbai"/>
    <x v="2"/>
    <x v="8"/>
    <n v="5"/>
    <n v="120"/>
    <n v="0.1"/>
    <n v="540"/>
    <n v="275"/>
    <n v="265"/>
    <s v="Debit Card"/>
    <s v="Aarav"/>
    <s v="Returning"/>
    <n v="0.49074074074074076"/>
    <s v="Low Profit"/>
    <s v="Normal"/>
  </r>
  <r>
    <s v="Pune"/>
    <x v="2"/>
    <x v="17"/>
    <n v="5"/>
    <n v="180"/>
    <n v="0"/>
    <n v="900"/>
    <n v="450"/>
    <n v="450"/>
    <s v="Net Banking"/>
    <s v="Sara"/>
    <s v="Corporate"/>
    <n v="0.5"/>
    <s v="Low Profit"/>
    <s v="Normal"/>
  </r>
  <r>
    <s v="Delhi"/>
    <x v="1"/>
    <x v="1"/>
    <n v="7"/>
    <n v="650"/>
    <n v="0.1"/>
    <n v="4095"/>
    <n v="2660"/>
    <n v="1435"/>
    <s v="Net Banking"/>
    <s v="Ananya"/>
    <s v="New"/>
    <n v="0.3504273504273504"/>
    <s v="Good Profit"/>
    <s v="Normal"/>
  </r>
  <r>
    <s v="Mysuru"/>
    <x v="0"/>
    <x v="5"/>
    <n v="1"/>
    <n v="6200"/>
    <n v="0"/>
    <n v="6200"/>
    <n v="4300"/>
    <n v="1900"/>
    <s v="Debit Card"/>
    <s v="Sara"/>
    <s v="Corporate"/>
    <n v="0.30645161290322581"/>
    <s v="Good Profit"/>
    <s v="High Value"/>
  </r>
  <r>
    <s v="Bhubaneswar"/>
    <x v="0"/>
    <x v="10"/>
    <n v="3"/>
    <n v="1600"/>
    <n v="0.1"/>
    <n v="4320"/>
    <n v="2850"/>
    <n v="1470"/>
    <s v="Debit Card"/>
    <s v="Ishaan"/>
    <s v="Returning"/>
    <n v="0.34027777777777779"/>
    <s v="Good Profit"/>
    <s v="Normal"/>
  </r>
  <r>
    <s v="Lucknow"/>
    <x v="0"/>
    <x v="10"/>
    <n v="9"/>
    <n v="1600"/>
    <n v="0.15"/>
    <n v="12240"/>
    <n v="8550"/>
    <n v="3690"/>
    <s v="Net Banking"/>
    <s v="Kabir"/>
    <s v="Returning"/>
    <n v="0.3014705882352941"/>
    <s v="Good Profit"/>
    <s v="High Value"/>
  </r>
  <r>
    <s v="Nashik"/>
    <x v="2"/>
    <x v="6"/>
    <n v="2"/>
    <n v="90"/>
    <n v="0.15"/>
    <n v="153"/>
    <n v="80"/>
    <n v="73"/>
    <s v="Debit Card"/>
    <s v="Aarav"/>
    <s v="Corporate"/>
    <n v="0.47712418300653597"/>
    <s v="Low Profit"/>
    <s v="Normal"/>
  </r>
  <r>
    <s v="Patna"/>
    <x v="0"/>
    <x v="10"/>
    <n v="10"/>
    <n v="1600"/>
    <n v="0.05"/>
    <n v="15200"/>
    <n v="9500"/>
    <n v="5700"/>
    <s v="Net Banking"/>
    <s v="Sara"/>
    <s v="New"/>
    <n v="0.375"/>
    <s v="Good Profit"/>
    <s v="High Value"/>
  </r>
  <r>
    <s v="Bhubaneswar"/>
    <x v="0"/>
    <x v="12"/>
    <n v="1"/>
    <n v="7800"/>
    <n v="0.2"/>
    <n v="6240"/>
    <n v="5500"/>
    <n v="740"/>
    <s v="UPI"/>
    <s v="Meera"/>
    <s v="New"/>
    <n v="0.11858974358974358"/>
    <s v="Good Profit"/>
    <s v="Normal"/>
  </r>
  <r>
    <s v="Patna"/>
    <x v="2"/>
    <x v="8"/>
    <n v="7"/>
    <n v="120"/>
    <n v="0.05"/>
    <n v="798"/>
    <n v="385"/>
    <n v="413"/>
    <s v="Net Banking"/>
    <s v="Sara"/>
    <s v="Corporate"/>
    <n v="0.51754385964912286"/>
    <s v="Low Profit"/>
    <s v="Normal"/>
  </r>
  <r>
    <s v="Pune"/>
    <x v="0"/>
    <x v="12"/>
    <n v="9"/>
    <n v="7800"/>
    <n v="0.1"/>
    <n v="63180"/>
    <n v="49500"/>
    <n v="13680"/>
    <s v="Cash"/>
    <s v="Rohan"/>
    <s v="Returning"/>
    <n v="0.21652421652421652"/>
    <s v="Good Profit"/>
    <s v="High Value"/>
  </r>
  <r>
    <s v="Mysuru"/>
    <x v="0"/>
    <x v="0"/>
    <n v="9"/>
    <n v="5400"/>
    <n v="0.1"/>
    <n v="43740"/>
    <n v="32400"/>
    <n v="11340"/>
    <s v="Debit Card"/>
    <s v="Sara"/>
    <s v="New"/>
    <n v="0.25925925925925924"/>
    <s v="Good Profit"/>
    <s v="High Value"/>
  </r>
  <r>
    <s v="Hyderabad"/>
    <x v="0"/>
    <x v="0"/>
    <n v="4"/>
    <n v="5400"/>
    <n v="0.1"/>
    <n v="19440"/>
    <n v="14400"/>
    <n v="5040"/>
    <s v="Credit Card"/>
    <s v="Sara"/>
    <s v="Returning"/>
    <n v="0.25925925925925924"/>
    <s v="Good Profit"/>
    <s v="High Value"/>
  </r>
  <r>
    <s v="Patna"/>
    <x v="0"/>
    <x v="7"/>
    <n v="5"/>
    <n v="8900"/>
    <n v="0.1"/>
    <n v="40050"/>
    <n v="32000"/>
    <n v="8050"/>
    <s v="Net Banking"/>
    <s v="Rohan"/>
    <s v="Returning"/>
    <n v="0.2009987515605493"/>
    <s v="Good Profit"/>
    <s v="High Value"/>
  </r>
  <r>
    <s v="Jaipur"/>
    <x v="2"/>
    <x v="14"/>
    <n v="5"/>
    <n v="250"/>
    <n v="0"/>
    <n v="1250"/>
    <n v="650"/>
    <n v="600"/>
    <s v="Cash"/>
    <s v="Kabir"/>
    <s v="Corporate"/>
    <n v="0.48"/>
    <s v="Good Profit"/>
    <s v="Normal"/>
  </r>
  <r>
    <s v="Bhubaneswar"/>
    <x v="1"/>
    <x v="15"/>
    <n v="5"/>
    <n v="9500"/>
    <n v="0.2"/>
    <n v="38000"/>
    <n v="36000"/>
    <n v="2000"/>
    <s v="Debit Card"/>
    <s v="Ishaan"/>
    <s v="New"/>
    <n v="5.2631578947368418E-2"/>
    <s v="Good Profit"/>
    <s v="High Value"/>
  </r>
  <r>
    <s v="Chennai"/>
    <x v="1"/>
    <x v="13"/>
    <n v="9"/>
    <n v="1200"/>
    <n v="0.05"/>
    <n v="10260"/>
    <n v="6300"/>
    <n v="3960"/>
    <s v="Credit Card"/>
    <s v="Aarav"/>
    <s v="New"/>
    <n v="0.38596491228070173"/>
    <s v="Good Profit"/>
    <s v="High Value"/>
  </r>
  <r>
    <s v="Patna"/>
    <x v="0"/>
    <x v="4"/>
    <n v="2"/>
    <n v="950"/>
    <n v="0.05"/>
    <n v="1805"/>
    <n v="1040"/>
    <n v="765"/>
    <s v="Net Banking"/>
    <s v="Ishaan"/>
    <s v="Returning"/>
    <n v="0.42382271468144045"/>
    <s v="Good Profit"/>
    <s v="Normal"/>
  </r>
  <r>
    <s v="Guwahati"/>
    <x v="0"/>
    <x v="12"/>
    <n v="5"/>
    <n v="7800"/>
    <n v="0.1"/>
    <n v="35100"/>
    <n v="27500"/>
    <n v="7600"/>
    <s v="UPI"/>
    <s v="Diya"/>
    <s v="Corporate"/>
    <n v="0.21652421652421652"/>
    <s v="Good Profit"/>
    <s v="High Value"/>
  </r>
  <r>
    <s v="Bengaluru"/>
    <x v="1"/>
    <x v="2"/>
    <n v="3"/>
    <n v="550"/>
    <n v="0"/>
    <n v="1650"/>
    <n v="900"/>
    <n v="750"/>
    <s v="Cash"/>
    <s v="Ishaan"/>
    <s v="Corporate"/>
    <n v="0.45454545454545453"/>
    <s v="Good Profit"/>
    <s v="Normal"/>
  </r>
  <r>
    <s v="Delhi"/>
    <x v="1"/>
    <x v="3"/>
    <n v="10"/>
    <n v="1800"/>
    <n v="0.2"/>
    <n v="14400"/>
    <n v="11500"/>
    <n v="2900"/>
    <s v="Debit Card"/>
    <s v="Kabir"/>
    <s v="Returning"/>
    <n v="0.2013888888888889"/>
    <s v="Good Profit"/>
    <s v="High Value"/>
  </r>
  <r>
    <s v="Bhubaneswar"/>
    <x v="0"/>
    <x v="4"/>
    <n v="5"/>
    <n v="950"/>
    <n v="0.05"/>
    <n v="4512.5"/>
    <n v="2600"/>
    <n v="1912.5"/>
    <s v="Debit Card"/>
    <s v="Ishaan"/>
    <s v="Corporate"/>
    <n v="0.42382271468144045"/>
    <s v="Good Profit"/>
    <s v="Normal"/>
  </r>
  <r>
    <s v="Patna"/>
    <x v="0"/>
    <x v="12"/>
    <n v="1"/>
    <n v="7800"/>
    <n v="0.1"/>
    <n v="7020"/>
    <n v="5500"/>
    <n v="1520"/>
    <s v="Net Banking"/>
    <s v="Meera"/>
    <s v="New"/>
    <n v="0.21652421652421652"/>
    <s v="Good Profit"/>
    <s v="High Value"/>
  </r>
  <r>
    <s v="Guwahati"/>
    <x v="0"/>
    <x v="0"/>
    <n v="2"/>
    <n v="5400"/>
    <n v="0.15"/>
    <n v="9180"/>
    <n v="7200"/>
    <n v="1980"/>
    <s v="UPI"/>
    <s v="Ishaan"/>
    <s v="New"/>
    <n v="0.21568627450980393"/>
    <s v="Good Profit"/>
    <s v="High Value"/>
  </r>
  <r>
    <s v="Patna"/>
    <x v="1"/>
    <x v="1"/>
    <n v="5"/>
    <n v="650"/>
    <n v="0.15"/>
    <n v="2762.5"/>
    <n v="1900"/>
    <n v="862.5"/>
    <s v="Cash"/>
    <s v="Kabir"/>
    <s v="Returning"/>
    <n v="0.31221719457013575"/>
    <s v="Good Profit"/>
    <s v="Normal"/>
  </r>
  <r>
    <s v="Delhi"/>
    <x v="2"/>
    <x v="6"/>
    <n v="6"/>
    <n v="90"/>
    <n v="0.05"/>
    <n v="513"/>
    <n v="240"/>
    <n v="273"/>
    <s v="UPI"/>
    <s v="Sara"/>
    <s v="Returning"/>
    <n v="0.53216374269005851"/>
    <s v="Low Profit"/>
    <s v="Normal"/>
  </r>
  <r>
    <s v="Mysuru"/>
    <x v="0"/>
    <x v="10"/>
    <n v="12"/>
    <n v="1600"/>
    <n v="0.1"/>
    <n v="17280"/>
    <n v="11400"/>
    <n v="5880"/>
    <s v="UPI"/>
    <s v="Kabir"/>
    <s v="Returning"/>
    <n v="0.34027777777777779"/>
    <s v="Good Profit"/>
    <s v="High Value"/>
  </r>
  <r>
    <s v="Chennai"/>
    <x v="1"/>
    <x v="2"/>
    <n v="3"/>
    <n v="550"/>
    <n v="0.15"/>
    <n v="1402.5"/>
    <n v="900"/>
    <n v="502.5"/>
    <s v="Debit Card"/>
    <s v="Rohan"/>
    <s v="Corporate"/>
    <n v="0.35828877005347592"/>
    <s v="Good Profit"/>
    <s v="Normal"/>
  </r>
  <r>
    <s v="Bhubaneswar"/>
    <x v="1"/>
    <x v="13"/>
    <n v="10"/>
    <n v="1200"/>
    <n v="0"/>
    <n v="12000"/>
    <n v="7000"/>
    <n v="5000"/>
    <s v="Cash"/>
    <s v="Ananya"/>
    <s v="New"/>
    <n v="0.41666666666666669"/>
    <s v="Good Profit"/>
    <s v="High Value"/>
  </r>
  <r>
    <s v="Mumbai"/>
    <x v="0"/>
    <x v="10"/>
    <n v="4"/>
    <n v="1600"/>
    <n v="0.2"/>
    <n v="5120"/>
    <n v="3800"/>
    <n v="1320"/>
    <s v="Credit Card"/>
    <s v="Ishaan"/>
    <s v="Returning"/>
    <n v="0.2578125"/>
    <s v="Good Profit"/>
    <s v="High Value"/>
  </r>
  <r>
    <s v="Kolkata"/>
    <x v="0"/>
    <x v="12"/>
    <n v="12"/>
    <n v="7800"/>
    <n v="0.2"/>
    <n v="74880"/>
    <n v="66000"/>
    <n v="8880"/>
    <s v="UPI"/>
    <s v="Sara"/>
    <s v="New"/>
    <n v="0.11858974358974358"/>
    <s v="Good Profit"/>
    <s v="High Value"/>
  </r>
  <r>
    <s v="Bhubaneswar"/>
    <x v="0"/>
    <x v="4"/>
    <n v="8"/>
    <n v="950"/>
    <n v="0.2"/>
    <n v="6080"/>
    <n v="4160"/>
    <n v="1920"/>
    <s v="Net Banking"/>
    <s v="Sara"/>
    <s v="Corporate"/>
    <n v="0.31578947368421051"/>
    <s v="Good Profit"/>
    <s v="High Value"/>
  </r>
  <r>
    <s v="Delhi"/>
    <x v="2"/>
    <x v="11"/>
    <n v="1"/>
    <n v="450"/>
    <n v="0.05"/>
    <n v="427.5"/>
    <n v="240"/>
    <n v="187.5"/>
    <s v="UPI"/>
    <s v="Aarav"/>
    <s v="Returning"/>
    <n v="0.43859649122807015"/>
    <s v="Low Profit"/>
    <s v="Normal"/>
  </r>
  <r>
    <s v="Delhi"/>
    <x v="0"/>
    <x v="5"/>
    <n v="2"/>
    <n v="6200"/>
    <n v="0.15"/>
    <n v="10540"/>
    <n v="8600"/>
    <n v="1940"/>
    <s v="Debit Card"/>
    <s v="Rohan"/>
    <s v="New"/>
    <n v="0.18406072106261859"/>
    <s v="Good Profit"/>
    <s v="High Value"/>
  </r>
  <r>
    <s v="Mysuru"/>
    <x v="2"/>
    <x v="16"/>
    <n v="8"/>
    <n v="380"/>
    <n v="0.15"/>
    <n v="2584"/>
    <n v="2000"/>
    <n v="584"/>
    <s v="UPI"/>
    <s v="Ishaan"/>
    <s v="Corporate"/>
    <n v="0.2260061919504644"/>
    <s v="Good Profit"/>
    <s v="Normal"/>
  </r>
  <r>
    <s v="Delhi"/>
    <x v="1"/>
    <x v="15"/>
    <n v="7"/>
    <n v="9500"/>
    <n v="0.2"/>
    <n v="53200"/>
    <n v="50400"/>
    <n v="2800"/>
    <s v="Credit Card"/>
    <s v="Aarav"/>
    <s v="New"/>
    <n v="5.2631578947368418E-2"/>
    <s v="Good Profit"/>
    <s v="High Value"/>
  </r>
  <r>
    <s v="Chandigarh"/>
    <x v="0"/>
    <x v="7"/>
    <n v="9"/>
    <n v="8900"/>
    <n v="0.15"/>
    <n v="68085"/>
    <n v="57600"/>
    <n v="10485"/>
    <s v="Cash"/>
    <s v="Meera"/>
    <s v="New"/>
    <n v="0.15399867812293458"/>
    <s v="Good Profit"/>
    <s v="High Value"/>
  </r>
  <r>
    <s v="Patna"/>
    <x v="1"/>
    <x v="3"/>
    <n v="4"/>
    <n v="1800"/>
    <n v="0"/>
    <n v="7200"/>
    <n v="4600"/>
    <n v="2600"/>
    <s v="Cash"/>
    <s v="Aarav"/>
    <s v="New"/>
    <n v="0.3611111111111111"/>
    <s v="Good Profit"/>
    <s v="High Value"/>
  </r>
  <r>
    <s v="Bengaluru"/>
    <x v="1"/>
    <x v="15"/>
    <n v="1"/>
    <n v="9500"/>
    <n v="0.15"/>
    <n v="8075"/>
    <n v="7200"/>
    <n v="875"/>
    <s v="UPI"/>
    <s v="Meera"/>
    <s v="Corporate"/>
    <n v="0.10835913312693499"/>
    <s v="Good Profit"/>
    <s v="Normal"/>
  </r>
  <r>
    <s v="Nagpur"/>
    <x v="2"/>
    <x v="8"/>
    <n v="9"/>
    <n v="120"/>
    <n v="0.05"/>
    <n v="1026"/>
    <n v="495"/>
    <n v="531"/>
    <s v="Credit Card"/>
    <s v="Kabir"/>
    <s v="New"/>
    <n v="0.51754385964912286"/>
    <s v="Good Profit"/>
    <s v="Norm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381812-BA0F-4FA0-830C-3A765BBE0F7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0:B29" firstHeaderRow="1" firstDataRow="1" firstDataCol="1"/>
  <pivotFields count="18">
    <pivotField showAll="0"/>
    <pivotField numFmtId="165" showAll="0"/>
    <pivotField showAll="0"/>
    <pivotField showAll="0"/>
    <pivotField showAll="0"/>
    <pivotField axis="axisRow" showAll="0">
      <items count="19">
        <item x="0"/>
        <item x="11"/>
        <item x="6"/>
        <item x="7"/>
        <item x="10"/>
        <item x="3"/>
        <item x="9"/>
        <item x="13"/>
        <item x="15"/>
        <item x="14"/>
        <item x="5"/>
        <item x="8"/>
        <item x="16"/>
        <item x="17"/>
        <item x="12"/>
        <item x="4"/>
        <item x="2"/>
        <item x="1"/>
        <item t="default"/>
      </items>
    </pivotField>
    <pivotField showAll="0"/>
    <pivotField numFmtId="164" showAll="0"/>
    <pivotField numFmtId="9" showAll="0"/>
    <pivotField numFmtId="164" showAll="0"/>
    <pivotField numFmtId="164" showAll="0"/>
    <pivotField dataField="1" numFmtId="164" showAll="0"/>
    <pivotField showAll="0"/>
    <pivotField showAll="0"/>
    <pivotField showAll="0"/>
    <pivotField showAll="0"/>
    <pivotField showAll="0"/>
    <pivotField showAll="0"/>
  </pivotFields>
  <rowFields count="1">
    <field x="5"/>
  </rowFields>
  <rowItems count="19">
    <i>
      <x/>
    </i>
    <i>
      <x v="1"/>
    </i>
    <i>
      <x v="2"/>
    </i>
    <i>
      <x v="3"/>
    </i>
    <i>
      <x v="4"/>
    </i>
    <i>
      <x v="5"/>
    </i>
    <i>
      <x v="6"/>
    </i>
    <i>
      <x v="7"/>
    </i>
    <i>
      <x v="8"/>
    </i>
    <i>
      <x v="9"/>
    </i>
    <i>
      <x v="10"/>
    </i>
    <i>
      <x v="11"/>
    </i>
    <i>
      <x v="12"/>
    </i>
    <i>
      <x v="13"/>
    </i>
    <i>
      <x v="14"/>
    </i>
    <i>
      <x v="15"/>
    </i>
    <i>
      <x v="16"/>
    </i>
    <i>
      <x v="17"/>
    </i>
    <i t="grand">
      <x/>
    </i>
  </rowItems>
  <colItems count="1">
    <i/>
  </colItems>
  <dataFields count="1">
    <dataField name="profit by products" fld="11" baseField="5"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577858-F410-49C9-A90F-27298F28C22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8" firstHeaderRow="1" firstDataRow="1" firstDataCol="1"/>
  <pivotFields count="18">
    <pivotField showAll="0"/>
    <pivotField numFmtId="165" showAll="0"/>
    <pivotField axis="axisRow" showAll="0">
      <items count="5">
        <item x="1"/>
        <item x="3"/>
        <item x="2"/>
        <item x="0"/>
        <item t="default"/>
      </items>
    </pivotField>
    <pivotField showAll="0"/>
    <pivotField showAll="0">
      <items count="4">
        <item x="0"/>
        <item x="2"/>
        <item x="1"/>
        <item t="default"/>
      </items>
    </pivotField>
    <pivotField showAll="0"/>
    <pivotField showAll="0"/>
    <pivotField numFmtId="164" showAll="0"/>
    <pivotField numFmtId="9" showAll="0"/>
    <pivotField dataField="1" numFmtId="164" showAll="0"/>
    <pivotField numFmtId="164" showAll="0"/>
    <pivotField numFmtId="164" showAll="0"/>
    <pivotField showAll="0"/>
    <pivotField showAll="0"/>
    <pivotField showAll="0"/>
    <pivotField showAll="0"/>
    <pivotField showAll="0"/>
    <pivotField showAll="0"/>
  </pivotFields>
  <rowFields count="1">
    <field x="2"/>
  </rowFields>
  <rowItems count="5">
    <i>
      <x/>
    </i>
    <i>
      <x v="1"/>
    </i>
    <i>
      <x v="2"/>
    </i>
    <i>
      <x v="3"/>
    </i>
    <i t="grand">
      <x/>
    </i>
  </rowItems>
  <colItems count="1">
    <i/>
  </colItems>
  <dataFields count="1">
    <dataField name="region wise sales" fld="9" baseField="2" baseItem="0" numFmtId="164"/>
  </dataFields>
  <chartFormats count="1">
    <chartFormat chart="25" format="5" series="1">
      <pivotArea type="data" outline="0" fieldPosition="0">
        <references count="1">
          <reference field="4294967294" count="1" selected="0">
            <x v="0"/>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EE72D4-99D2-41C5-9E59-D860CD0271AF}"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K3:L25" firstHeaderRow="1" firstDataRow="1" firstDataCol="1"/>
  <pivotFields count="18">
    <pivotField showAll="0"/>
    <pivotField numFmtId="165" showAll="0"/>
    <pivotField showAll="0"/>
    <pivotField showAll="0">
      <items count="17">
        <item x="8"/>
        <item x="7"/>
        <item x="10"/>
        <item x="13"/>
        <item x="4"/>
        <item x="9"/>
        <item x="11"/>
        <item x="3"/>
        <item x="1"/>
        <item x="15"/>
        <item x="0"/>
        <item x="2"/>
        <item x="12"/>
        <item x="14"/>
        <item x="5"/>
        <item x="6"/>
        <item t="default"/>
      </items>
    </pivotField>
    <pivotField axis="axisRow" showAll="0">
      <items count="4">
        <item x="0"/>
        <item x="2"/>
        <item x="1"/>
        <item t="default"/>
      </items>
    </pivotField>
    <pivotField axis="axisRow" showAll="0">
      <items count="19">
        <item x="0"/>
        <item x="11"/>
        <item x="6"/>
        <item x="7"/>
        <item x="10"/>
        <item x="3"/>
        <item x="9"/>
        <item x="13"/>
        <item x="15"/>
        <item x="14"/>
        <item x="5"/>
        <item x="8"/>
        <item x="16"/>
        <item x="17"/>
        <item x="12"/>
        <item x="4"/>
        <item x="2"/>
        <item x="1"/>
        <item t="default"/>
      </items>
    </pivotField>
    <pivotField showAll="0"/>
    <pivotField numFmtId="164" showAll="0"/>
    <pivotField numFmtId="9" showAll="0"/>
    <pivotField numFmtId="164" showAll="0"/>
    <pivotField numFmtId="164" showAll="0"/>
    <pivotField dataField="1" numFmtId="164" showAll="0"/>
    <pivotField showAll="0"/>
    <pivotField showAll="0"/>
    <pivotField showAll="0"/>
    <pivotField showAll="0"/>
    <pivotField showAll="0"/>
    <pivotField showAll="0"/>
  </pivotFields>
  <rowFields count="2">
    <field x="4"/>
    <field x="5"/>
  </rowFields>
  <rowItems count="22">
    <i>
      <x/>
    </i>
    <i r="1">
      <x/>
    </i>
    <i r="1">
      <x v="3"/>
    </i>
    <i r="1">
      <x v="4"/>
    </i>
    <i r="1">
      <x v="10"/>
    </i>
    <i r="1">
      <x v="14"/>
    </i>
    <i r="1">
      <x v="15"/>
    </i>
    <i>
      <x v="1"/>
    </i>
    <i r="1">
      <x v="1"/>
    </i>
    <i r="1">
      <x v="2"/>
    </i>
    <i r="1">
      <x v="9"/>
    </i>
    <i r="1">
      <x v="11"/>
    </i>
    <i r="1">
      <x v="12"/>
    </i>
    <i r="1">
      <x v="13"/>
    </i>
    <i>
      <x v="2"/>
    </i>
    <i r="1">
      <x v="5"/>
    </i>
    <i r="1">
      <x v="6"/>
    </i>
    <i r="1">
      <x v="7"/>
    </i>
    <i r="1">
      <x v="8"/>
    </i>
    <i r="1">
      <x v="16"/>
    </i>
    <i r="1">
      <x v="17"/>
    </i>
    <i t="grand">
      <x/>
    </i>
  </rowItems>
  <colItems count="1">
    <i/>
  </colItems>
  <dataFields count="1">
    <dataField name="product and category wise profit" fld="11" baseField="0" baseItem="0" numFmtId="164"/>
  </dataFields>
  <chartFormats count="20">
    <chartFormat chart="0" format="0" series="1">
      <pivotArea type="data" outline="0" fieldPosition="0">
        <references count="1">
          <reference field="5" count="1" selected="0">
            <x v="0"/>
          </reference>
        </references>
      </pivotArea>
    </chartFormat>
    <chartFormat chart="0" format="1" series="1">
      <pivotArea type="data" outline="0" fieldPosition="0">
        <references count="1">
          <reference field="5" count="1" selected="0">
            <x v="1"/>
          </reference>
        </references>
      </pivotArea>
    </chartFormat>
    <chartFormat chart="0" format="2" series="1">
      <pivotArea type="data" outline="0" fieldPosition="0">
        <references count="1">
          <reference field="5" count="1" selected="0">
            <x v="2"/>
          </reference>
        </references>
      </pivotArea>
    </chartFormat>
    <chartFormat chart="0" format="3" series="1">
      <pivotArea type="data" outline="0" fieldPosition="0">
        <references count="1">
          <reference field="5" count="1" selected="0">
            <x v="3"/>
          </reference>
        </references>
      </pivotArea>
    </chartFormat>
    <chartFormat chart="0" format="4" series="1">
      <pivotArea type="data" outline="0" fieldPosition="0">
        <references count="1">
          <reference field="5" count="1" selected="0">
            <x v="4"/>
          </reference>
        </references>
      </pivotArea>
    </chartFormat>
    <chartFormat chart="0" format="5" series="1">
      <pivotArea type="data" outline="0" fieldPosition="0">
        <references count="1">
          <reference field="5" count="1" selected="0">
            <x v="5"/>
          </reference>
        </references>
      </pivotArea>
    </chartFormat>
    <chartFormat chart="0" format="6" series="1">
      <pivotArea type="data" outline="0" fieldPosition="0">
        <references count="1">
          <reference field="5" count="1" selected="0">
            <x v="6"/>
          </reference>
        </references>
      </pivotArea>
    </chartFormat>
    <chartFormat chart="0" format="7" series="1">
      <pivotArea type="data" outline="0" fieldPosition="0">
        <references count="1">
          <reference field="5" count="1" selected="0">
            <x v="7"/>
          </reference>
        </references>
      </pivotArea>
    </chartFormat>
    <chartFormat chart="0" format="8" series="1">
      <pivotArea type="data" outline="0" fieldPosition="0">
        <references count="1">
          <reference field="5" count="1" selected="0">
            <x v="8"/>
          </reference>
        </references>
      </pivotArea>
    </chartFormat>
    <chartFormat chart="0" format="9" series="1">
      <pivotArea type="data" outline="0" fieldPosition="0">
        <references count="1">
          <reference field="5" count="1" selected="0">
            <x v="9"/>
          </reference>
        </references>
      </pivotArea>
    </chartFormat>
    <chartFormat chart="0" format="10" series="1">
      <pivotArea type="data" outline="0" fieldPosition="0">
        <references count="1">
          <reference field="5" count="1" selected="0">
            <x v="10"/>
          </reference>
        </references>
      </pivotArea>
    </chartFormat>
    <chartFormat chart="0" format="11" series="1">
      <pivotArea type="data" outline="0" fieldPosition="0">
        <references count="1">
          <reference field="5" count="1" selected="0">
            <x v="11"/>
          </reference>
        </references>
      </pivotArea>
    </chartFormat>
    <chartFormat chart="0" format="12" series="1">
      <pivotArea type="data" outline="0" fieldPosition="0">
        <references count="1">
          <reference field="5" count="1" selected="0">
            <x v="12"/>
          </reference>
        </references>
      </pivotArea>
    </chartFormat>
    <chartFormat chart="0" format="13" series="1">
      <pivotArea type="data" outline="0" fieldPosition="0">
        <references count="1">
          <reference field="5" count="1" selected="0">
            <x v="13"/>
          </reference>
        </references>
      </pivotArea>
    </chartFormat>
    <chartFormat chart="0" format="14" series="1">
      <pivotArea type="data" outline="0" fieldPosition="0">
        <references count="1">
          <reference field="5" count="1" selected="0">
            <x v="14"/>
          </reference>
        </references>
      </pivotArea>
    </chartFormat>
    <chartFormat chart="0" format="15" series="1">
      <pivotArea type="data" outline="0" fieldPosition="0">
        <references count="1">
          <reference field="5" count="1" selected="0">
            <x v="15"/>
          </reference>
        </references>
      </pivotArea>
    </chartFormat>
    <chartFormat chart="0" format="16" series="1">
      <pivotArea type="data" outline="0" fieldPosition="0">
        <references count="1">
          <reference field="5" count="1" selected="0">
            <x v="16"/>
          </reference>
        </references>
      </pivotArea>
    </chartFormat>
    <chartFormat chart="0" format="17" series="1">
      <pivotArea type="data" outline="0" fieldPosition="0">
        <references count="1">
          <reference field="5" count="1" selected="0">
            <x v="17"/>
          </reference>
        </references>
      </pivotArea>
    </chartFormat>
    <chartFormat chart="0" format="18" series="1">
      <pivotArea type="data" outline="0" fieldPosition="0">
        <references count="1">
          <reference field="4294967294" count="1" selected="0">
            <x v="0"/>
          </reference>
        </references>
      </pivotArea>
    </chartFormat>
    <chartFormat chart="3" format="20" series="1">
      <pivotArea type="data" outline="0" fieldPosition="0">
        <references count="1">
          <reference field="4294967294" count="1" selected="0">
            <x v="0"/>
          </reference>
        </references>
      </pivotArea>
    </chartFormat>
  </chartFormat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352CFC-BB63-4DB4-AF40-34902F4AC1E2}"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24:E28" firstHeaderRow="1" firstDataRow="1" firstDataCol="1"/>
  <pivotFields count="15">
    <pivotField showAll="0"/>
    <pivotField axis="axisRow" showAll="0">
      <items count="4">
        <item x="0"/>
        <item x="2"/>
        <item x="1"/>
        <item t="default"/>
      </items>
    </pivotField>
    <pivotField showAll="0">
      <items count="19">
        <item x="0"/>
        <item x="11"/>
        <item x="6"/>
        <item x="7"/>
        <item x="10"/>
        <item x="3"/>
        <item x="9"/>
        <item x="13"/>
        <item x="15"/>
        <item x="14"/>
        <item x="5"/>
        <item x="8"/>
        <item x="16"/>
        <item x="17"/>
        <item x="12"/>
        <item x="4"/>
        <item x="2"/>
        <item x="1"/>
        <item t="default"/>
      </items>
    </pivotField>
    <pivotField showAll="0"/>
    <pivotField numFmtId="164" showAll="0"/>
    <pivotField numFmtId="9" showAll="0"/>
    <pivotField numFmtId="164" showAll="0"/>
    <pivotField dataField="1" numFmtId="164" showAll="0"/>
    <pivotField numFmtId="164" showAll="0"/>
    <pivotField showAll="0"/>
    <pivotField showAll="0"/>
    <pivotField showAll="0"/>
    <pivotField showAll="0"/>
    <pivotField showAll="0"/>
    <pivotField showAll="0"/>
  </pivotFields>
  <rowFields count="1">
    <field x="1"/>
  </rowFields>
  <rowItems count="4">
    <i>
      <x/>
    </i>
    <i>
      <x v="1"/>
    </i>
    <i>
      <x v="2"/>
    </i>
    <i t="grand">
      <x/>
    </i>
  </rowItems>
  <colItems count="1">
    <i/>
  </colItems>
  <dataFields count="1">
    <dataField name="category wise cost" fld="7" baseField="0" baseItem="0" numFmtId="164"/>
  </dataFields>
  <chartFormats count="9">
    <chartFormat chart="0"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 count="1" selected="0">
            <x v="0"/>
          </reference>
        </references>
      </pivotArea>
    </chartFormat>
    <chartFormat chart="7" format="7">
      <pivotArea type="data" outline="0" fieldPosition="0">
        <references count="2">
          <reference field="4294967294" count="1" selected="0">
            <x v="0"/>
          </reference>
          <reference field="1" count="1" selected="0">
            <x v="1"/>
          </reference>
        </references>
      </pivotArea>
    </chartFormat>
    <chartFormat chart="7" format="8">
      <pivotArea type="data" outline="0" fieldPosition="0">
        <references count="2">
          <reference field="4294967294" count="1" selected="0">
            <x v="0"/>
          </reference>
          <reference field="1" count="1" selected="0">
            <x v="2"/>
          </reference>
        </references>
      </pivotArea>
    </chartFormat>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1" count="1" selected="0">
            <x v="0"/>
          </reference>
        </references>
      </pivotArea>
    </chartFormat>
    <chartFormat chart="9" format="15">
      <pivotArea type="data" outline="0" fieldPosition="0">
        <references count="2">
          <reference field="4294967294" count="1" selected="0">
            <x v="0"/>
          </reference>
          <reference field="1" count="1" selected="0">
            <x v="1"/>
          </reference>
        </references>
      </pivotArea>
    </chartFormat>
    <chartFormat chart="9" format="16">
      <pivotArea type="data" outline="0" fieldPosition="0">
        <references count="2">
          <reference field="4294967294" count="1" selected="0">
            <x v="0"/>
          </reference>
          <reference field="1" count="1" selected="0">
            <x v="2"/>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F86EBC-E7DE-459E-A0D4-9E65E0D22FAF}"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ities" colHeaderCaption="regions">
  <location ref="D3:I21" firstHeaderRow="1" firstDataRow="2" firstDataCol="1"/>
  <pivotFields count="18">
    <pivotField showAll="0"/>
    <pivotField numFmtId="165" showAll="0"/>
    <pivotField axis="axisCol" showAll="0">
      <items count="5">
        <item x="1"/>
        <item x="3"/>
        <item x="2"/>
        <item x="0"/>
        <item t="default"/>
      </items>
    </pivotField>
    <pivotField axis="axisRow" showAll="0">
      <items count="17">
        <item x="8"/>
        <item x="7"/>
        <item x="10"/>
        <item x="13"/>
        <item x="4"/>
        <item x="9"/>
        <item x="11"/>
        <item x="3"/>
        <item x="1"/>
        <item x="15"/>
        <item x="0"/>
        <item x="2"/>
        <item x="12"/>
        <item x="14"/>
        <item x="5"/>
        <item x="6"/>
        <item t="default"/>
      </items>
    </pivotField>
    <pivotField showAll="0"/>
    <pivotField showAll="0"/>
    <pivotField showAll="0"/>
    <pivotField numFmtId="164" showAll="0"/>
    <pivotField numFmtId="9" showAll="0"/>
    <pivotField numFmtId="164" showAll="0"/>
    <pivotField dataField="1" numFmtId="164" showAll="0"/>
    <pivotField numFmtId="164" showAll="0"/>
    <pivotField showAll="0">
      <items count="6">
        <item x="4"/>
        <item x="2"/>
        <item x="3"/>
        <item x="1"/>
        <item x="0"/>
        <item t="default"/>
      </items>
    </pivotField>
    <pivotField showAll="0"/>
    <pivotField showAll="0"/>
    <pivotField showAll="0"/>
    <pivotField showAll="0"/>
    <pivotField showAll="0"/>
  </pivotFields>
  <rowFields count="1">
    <field x="3"/>
  </rowFields>
  <rowItems count="17">
    <i>
      <x/>
    </i>
    <i>
      <x v="1"/>
    </i>
    <i>
      <x v="2"/>
    </i>
    <i>
      <x v="3"/>
    </i>
    <i>
      <x v="4"/>
    </i>
    <i>
      <x v="5"/>
    </i>
    <i>
      <x v="6"/>
    </i>
    <i>
      <x v="7"/>
    </i>
    <i>
      <x v="8"/>
    </i>
    <i>
      <x v="9"/>
    </i>
    <i>
      <x v="10"/>
    </i>
    <i>
      <x v="11"/>
    </i>
    <i>
      <x v="12"/>
    </i>
    <i>
      <x v="13"/>
    </i>
    <i>
      <x v="14"/>
    </i>
    <i>
      <x v="15"/>
    </i>
    <i t="grand">
      <x/>
    </i>
  </rowItems>
  <colFields count="1">
    <field x="2"/>
  </colFields>
  <colItems count="5">
    <i>
      <x/>
    </i>
    <i>
      <x v="1"/>
    </i>
    <i>
      <x v="2"/>
    </i>
    <i>
      <x v="3"/>
    </i>
    <i t="grand">
      <x/>
    </i>
  </colItems>
  <dataFields count="1">
    <dataField name="region and city wise cost" fld="10" baseField="0" baseItem="0" numFmtId="164"/>
  </dataFields>
  <chartFormats count="4">
    <chartFormat chart="0" format="10" series="1">
      <pivotArea type="data" outline="0" fieldPosition="0">
        <references count="1">
          <reference field="2" count="1" selected="0">
            <x v="0"/>
          </reference>
        </references>
      </pivotArea>
    </chartFormat>
    <chartFormat chart="0" format="11" series="1">
      <pivotArea type="data" outline="0" fieldPosition="0">
        <references count="1">
          <reference field="2" count="1" selected="0">
            <x v="1"/>
          </reference>
        </references>
      </pivotArea>
    </chartFormat>
    <chartFormat chart="0" format="12" series="1">
      <pivotArea type="data" outline="0" fieldPosition="0">
        <references count="1">
          <reference field="2" count="1" selected="0">
            <x v="2"/>
          </reference>
        </references>
      </pivotArea>
    </chartFormat>
    <chartFormat chart="0" format="13" series="1">
      <pivotArea type="data" outline="0" fieldPosition="0">
        <references count="1">
          <reference field="2" count="1" selected="0">
            <x v="3"/>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2F23F8-391E-4035-BEF3-80369894FE9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4:B106" firstHeaderRow="1" firstDataRow="1" firstDataCol="1"/>
  <pivotFields count="18">
    <pivotField showAll="0"/>
    <pivotField numFmtId="165" showAll="0"/>
    <pivotField showAll="0">
      <items count="5">
        <item x="1"/>
        <item x="3"/>
        <item x="2"/>
        <item x="0"/>
        <item t="default"/>
      </items>
    </pivotField>
    <pivotField showAll="0">
      <items count="17">
        <item x="8"/>
        <item x="7"/>
        <item x="10"/>
        <item x="13"/>
        <item x="4"/>
        <item x="9"/>
        <item x="11"/>
        <item x="3"/>
        <item x="1"/>
        <item x="15"/>
        <item x="0"/>
        <item x="2"/>
        <item x="12"/>
        <item x="14"/>
        <item x="5"/>
        <item x="6"/>
        <item t="default"/>
      </items>
    </pivotField>
    <pivotField axis="axisRow" showAll="0">
      <items count="4">
        <item x="0"/>
        <item x="2"/>
        <item x="1"/>
        <item t="default"/>
      </items>
    </pivotField>
    <pivotField axis="axisRow" showAll="0">
      <items count="19">
        <item x="0"/>
        <item x="11"/>
        <item x="6"/>
        <item x="7"/>
        <item x="10"/>
        <item x="3"/>
        <item x="9"/>
        <item x="13"/>
        <item x="15"/>
        <item x="14"/>
        <item x="5"/>
        <item x="8"/>
        <item x="16"/>
        <item x="17"/>
        <item x="12"/>
        <item x="4"/>
        <item x="2"/>
        <item x="1"/>
        <item t="default"/>
      </items>
    </pivotField>
    <pivotField showAll="0"/>
    <pivotField numFmtId="164" showAll="0"/>
    <pivotField numFmtId="9" showAll="0"/>
    <pivotField numFmtId="164" showAll="0"/>
    <pivotField numFmtId="164" showAll="0"/>
    <pivotField dataField="1" numFmtId="164" showAll="0"/>
    <pivotField showAll="0"/>
    <pivotField showAll="0"/>
    <pivotField showAll="0"/>
    <pivotField showAll="0"/>
    <pivotField showAll="0"/>
    <pivotField showAll="0"/>
  </pivotFields>
  <rowFields count="2">
    <field x="4"/>
    <field x="5"/>
  </rowFields>
  <rowItems count="22">
    <i>
      <x/>
    </i>
    <i r="1">
      <x/>
    </i>
    <i r="1">
      <x v="3"/>
    </i>
    <i r="1">
      <x v="4"/>
    </i>
    <i r="1">
      <x v="10"/>
    </i>
    <i r="1">
      <x v="14"/>
    </i>
    <i r="1">
      <x v="15"/>
    </i>
    <i>
      <x v="1"/>
    </i>
    <i r="1">
      <x v="1"/>
    </i>
    <i r="1">
      <x v="2"/>
    </i>
    <i r="1">
      <x v="9"/>
    </i>
    <i r="1">
      <x v="11"/>
    </i>
    <i r="1">
      <x v="12"/>
    </i>
    <i r="1">
      <x v="13"/>
    </i>
    <i>
      <x v="2"/>
    </i>
    <i r="1">
      <x v="5"/>
    </i>
    <i r="1">
      <x v="6"/>
    </i>
    <i r="1">
      <x v="7"/>
    </i>
    <i r="1">
      <x v="8"/>
    </i>
    <i r="1">
      <x v="16"/>
    </i>
    <i r="1">
      <x v="17"/>
    </i>
    <i t="grand">
      <x/>
    </i>
  </rowItems>
  <colItems count="1">
    <i/>
  </colItems>
  <dataFields count="1">
    <dataField name="Sum of Profit_INR" fld="11" baseField="0" baseItem="0" numFmtId="164"/>
  </dataFields>
  <chartFormats count="20">
    <chartFormat chart="0" format="0" series="1">
      <pivotArea type="data" outline="0" fieldPosition="0">
        <references count="1">
          <reference field="5" count="1" selected="0">
            <x v="0"/>
          </reference>
        </references>
      </pivotArea>
    </chartFormat>
    <chartFormat chart="0" format="1" series="1">
      <pivotArea type="data" outline="0" fieldPosition="0">
        <references count="1">
          <reference field="5" count="1" selected="0">
            <x v="1"/>
          </reference>
        </references>
      </pivotArea>
    </chartFormat>
    <chartFormat chart="0" format="2" series="1">
      <pivotArea type="data" outline="0" fieldPosition="0">
        <references count="1">
          <reference field="5" count="1" selected="0">
            <x v="2"/>
          </reference>
        </references>
      </pivotArea>
    </chartFormat>
    <chartFormat chart="0" format="3" series="1">
      <pivotArea type="data" outline="0" fieldPosition="0">
        <references count="1">
          <reference field="5" count="1" selected="0">
            <x v="3"/>
          </reference>
        </references>
      </pivotArea>
    </chartFormat>
    <chartFormat chart="0" format="4" series="1">
      <pivotArea type="data" outline="0" fieldPosition="0">
        <references count="1">
          <reference field="5" count="1" selected="0">
            <x v="4"/>
          </reference>
        </references>
      </pivotArea>
    </chartFormat>
    <chartFormat chart="0" format="5" series="1">
      <pivotArea type="data" outline="0" fieldPosition="0">
        <references count="1">
          <reference field="5" count="1" selected="0">
            <x v="5"/>
          </reference>
        </references>
      </pivotArea>
    </chartFormat>
    <chartFormat chart="0" format="6" series="1">
      <pivotArea type="data" outline="0" fieldPosition="0">
        <references count="1">
          <reference field="5" count="1" selected="0">
            <x v="6"/>
          </reference>
        </references>
      </pivotArea>
    </chartFormat>
    <chartFormat chart="0" format="7" series="1">
      <pivotArea type="data" outline="0" fieldPosition="0">
        <references count="1">
          <reference field="5" count="1" selected="0">
            <x v="7"/>
          </reference>
        </references>
      </pivotArea>
    </chartFormat>
    <chartFormat chart="0" format="8" series="1">
      <pivotArea type="data" outline="0" fieldPosition="0">
        <references count="1">
          <reference field="5" count="1" selected="0">
            <x v="8"/>
          </reference>
        </references>
      </pivotArea>
    </chartFormat>
    <chartFormat chart="0" format="9" series="1">
      <pivotArea type="data" outline="0" fieldPosition="0">
        <references count="1">
          <reference field="5" count="1" selected="0">
            <x v="9"/>
          </reference>
        </references>
      </pivotArea>
    </chartFormat>
    <chartFormat chart="0" format="10" series="1">
      <pivotArea type="data" outline="0" fieldPosition="0">
        <references count="1">
          <reference field="5" count="1" selected="0">
            <x v="10"/>
          </reference>
        </references>
      </pivotArea>
    </chartFormat>
    <chartFormat chart="0" format="11" series="1">
      <pivotArea type="data" outline="0" fieldPosition="0">
        <references count="1">
          <reference field="5" count="1" selected="0">
            <x v="11"/>
          </reference>
        </references>
      </pivotArea>
    </chartFormat>
    <chartFormat chart="0" format="12" series="1">
      <pivotArea type="data" outline="0" fieldPosition="0">
        <references count="1">
          <reference field="5" count="1" selected="0">
            <x v="12"/>
          </reference>
        </references>
      </pivotArea>
    </chartFormat>
    <chartFormat chart="0" format="13" series="1">
      <pivotArea type="data" outline="0" fieldPosition="0">
        <references count="1">
          <reference field="5" count="1" selected="0">
            <x v="13"/>
          </reference>
        </references>
      </pivotArea>
    </chartFormat>
    <chartFormat chart="0" format="14" series="1">
      <pivotArea type="data" outline="0" fieldPosition="0">
        <references count="1">
          <reference field="5" count="1" selected="0">
            <x v="14"/>
          </reference>
        </references>
      </pivotArea>
    </chartFormat>
    <chartFormat chart="0" format="15" series="1">
      <pivotArea type="data" outline="0" fieldPosition="0">
        <references count="1">
          <reference field="5" count="1" selected="0">
            <x v="15"/>
          </reference>
        </references>
      </pivotArea>
    </chartFormat>
    <chartFormat chart="0" format="16" series="1">
      <pivotArea type="data" outline="0" fieldPosition="0">
        <references count="1">
          <reference field="5" count="1" selected="0">
            <x v="16"/>
          </reference>
        </references>
      </pivotArea>
    </chartFormat>
    <chartFormat chart="0" format="17" series="1">
      <pivotArea type="data" outline="0" fieldPosition="0">
        <references count="1">
          <reference field="5" count="1" selected="0">
            <x v="17"/>
          </reference>
        </references>
      </pivotArea>
    </chartFormat>
    <chartFormat chart="0" format="18" series="1">
      <pivotArea type="data" outline="0" fieldPosition="0">
        <references count="1">
          <reference field="4294967294" count="1" selected="0">
            <x v="0"/>
          </reference>
        </references>
      </pivotArea>
    </chartFormat>
    <chartFormat chart="3" format="2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97597F0-1CF7-4E0C-9134-F6770E49ABB9}" sourceName="Region">
  <pivotTables>
    <pivotTable tabId="7" name="PivotTable2"/>
    <pivotTable tabId="7" name="PivotTable13"/>
  </pivotTables>
  <data>
    <tabular pivotCacheId="1175863751">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4F738AFC-3A9D-4639-9B9B-011A8080BA77}" sourceName="Product">
  <pivotTables>
    <pivotTable tabId="7" name="PivotTable4"/>
  </pivotTables>
  <data>
    <tabular pivotCacheId="1175863751">
      <items count="18">
        <i x="0" s="1"/>
        <i x="11" s="1"/>
        <i x="6" s="1"/>
        <i x="7" s="1"/>
        <i x="10" s="1"/>
        <i x="3" s="1"/>
        <i x="9" s="1"/>
        <i x="13" s="1"/>
        <i x="15" s="1"/>
        <i x="14" s="1"/>
        <i x="5" s="1"/>
        <i x="8" s="1"/>
        <i x="16" s="1"/>
        <i x="17" s="1"/>
        <i x="12" s="1"/>
        <i x="4"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3D111BA-EF49-4DA1-BBA3-E9780C5095B0}" sourceName="City">
  <pivotTables>
    <pivotTable tabId="7" name="PivotTable14"/>
  </pivotTables>
  <data>
    <tabular pivotCacheId="1175863751">
      <items count="16">
        <i x="8" s="1"/>
        <i x="7" s="1"/>
        <i x="10" s="1"/>
        <i x="13" s="1"/>
        <i x="4" s="1"/>
        <i x="9" s="1"/>
        <i x="11" s="1"/>
        <i x="3" s="1"/>
        <i x="1" s="1"/>
        <i x="15" s="1"/>
        <i x="0" s="1"/>
        <i x="2" s="1"/>
        <i x="12" s="1"/>
        <i x="14" s="1"/>
        <i x="5"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C80C858-5685-443C-9B80-E434167F3153}" sourceName="Category">
  <pivotTables>
    <pivotTable tabId="7" name="PivotTable16"/>
  </pivotTables>
  <data>
    <tabular pivotCacheId="117586375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AD7C5F7-B629-4E86-8543-E50F0DF37BD1}" cache="Slicer_Region" caption="Region" style="SlicerStyleDark5" rowHeight="241300"/>
  <slicer name="Product 1" xr10:uid="{F5AB5CED-9F71-4369-AAA0-0C988D0A9CBB}" cache="Slicer_Product1" caption="Product" style="SlicerStyleDark6" rowHeight="241300"/>
  <slicer name="City" xr10:uid="{FC39D0EE-6C3C-498D-8D46-959A2F3B19CE}" cache="Slicer_City" caption="City" style="SlicerStyleDark2" rowHeight="241300"/>
  <slicer name="Category" xr10:uid="{B6944884-AA45-479B-93D7-35AAACC2EA58}" cache="Slicer_Category" caption="Category" style="SlicerStyleDark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68BF96A-2FB6-4566-87A4-69C487223BAC}" name="Table2" displayName="Table2" ref="A1:R251" totalsRowShown="0" headerRowDxfId="19" dataDxfId="18">
  <autoFilter ref="A1:R251" xr:uid="{C68BF96A-2FB6-4566-87A4-69C487223BAC}"/>
  <tableColumns count="18">
    <tableColumn id="1" xr3:uid="{4E27E501-147E-448A-98FE-4256C6E6E272}" name="OrderID" dataDxfId="17"/>
    <tableColumn id="2" xr3:uid="{6C23F9BC-8E64-4134-9DE1-67AD86290FDE}" name="OrderDate" dataDxfId="16"/>
    <tableColumn id="3" xr3:uid="{F16CF770-A163-4FC7-9ECD-AC228FACAB2A}" name="Region" dataDxfId="15"/>
    <tableColumn id="4" xr3:uid="{96BB82B9-0130-4271-B3FE-1A0BD754C974}" name="City" dataDxfId="14"/>
    <tableColumn id="5" xr3:uid="{A83E4BBD-7EF4-4306-8EE1-137AA635273A}" name="Category" dataDxfId="13"/>
    <tableColumn id="6" xr3:uid="{3D8B16C6-DE7A-45B7-8428-20AE46C18694}" name="Product" dataDxfId="12"/>
    <tableColumn id="7" xr3:uid="{1A00E124-BCC7-49C1-B655-8C4A450EA6D7}" name="Quantity" dataDxfId="11"/>
    <tableColumn id="8" xr3:uid="{15F8FA78-51A1-4CFC-B883-60B8DFA6DBE0}" name="UnitPrice_INR" dataDxfId="10"/>
    <tableColumn id="9" xr3:uid="{E741F5A4-4421-47F7-884F-7D9422A9D585}" name="DiscountPct" dataDxfId="9"/>
    <tableColumn id="10" xr3:uid="{6DFEA532-F56A-4FD7-88D1-E59E615F9525}" name="Sales_INR" dataDxfId="8"/>
    <tableColumn id="11" xr3:uid="{78926905-ED7F-4997-A2A9-55EA43F53329}" name="Cost_INR" dataDxfId="7"/>
    <tableColumn id="12" xr3:uid="{B0C1BED3-1F32-45CD-B4D4-4FD48F7A4E29}" name="Profit_INR" dataDxfId="6"/>
    <tableColumn id="13" xr3:uid="{43C9FCBC-DE39-4A1E-B1EE-4DAEB686755E}" name="PaymentMethod" dataDxfId="5"/>
    <tableColumn id="14" xr3:uid="{1D2F75C9-CB61-4DFD-9997-68346002F6DF}" name="Salesperson" dataDxfId="4"/>
    <tableColumn id="15" xr3:uid="{45FE8FAE-0FF3-4788-B481-8C29D4F56829}" name="CustomerType" dataDxfId="3"/>
    <tableColumn id="16" xr3:uid="{469889EC-28C6-42B1-B69D-D09C4F2EF64A}" name="profit margin">
      <calculatedColumnFormula>IFERROR(L2/J2,0)</calculatedColumnFormula>
    </tableColumn>
    <tableColumn id="17" xr3:uid="{135B33FC-3794-4442-B22D-70015040044D}" name="profit status" dataDxfId="2">
      <calculatedColumnFormula>IF(L2&lt;0,"Loss",IF(L2&lt;500,"Low Profit","Good Profit"))</calculatedColumnFormula>
    </tableColumn>
    <tableColumn id="18" xr3:uid="{7E7A3EC4-D116-4439-8F2A-C9F0C9B3CB14}" name="impact" dataDxfId="1">
      <calculatedColumnFormula>IF(AND(J2&gt;5000,L2&gt;1000),"High Value","Normal")</calculatedColumnFormula>
    </tableColumn>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4F7F5C9-7438-4346-A404-136414546C09}" name="Table3" displayName="Table3" ref="A1:B11" totalsRowShown="0" headerRowDxfId="0">
  <autoFilter ref="A1:B11" xr:uid="{A4F7F5C9-7438-4346-A404-136414546C09}"/>
  <tableColumns count="2">
    <tableColumn id="1" xr3:uid="{17065936-4990-4232-B56D-B14D9A53E1F2}" name="kpi"/>
    <tableColumn id="2" xr3:uid="{FC75E79B-186A-436D-9CA7-6456A697A7D7}" name="value"/>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C9B7B-2C6C-4176-B055-5F74F256CBC2}">
  <dimension ref="A1:R251"/>
  <sheetViews>
    <sheetView zoomScale="83" zoomScaleNormal="110" workbookViewId="0">
      <selection activeCell="T15" sqref="T15"/>
    </sheetView>
  </sheetViews>
  <sheetFormatPr defaultRowHeight="15" x14ac:dyDescent="0.25"/>
  <cols>
    <col min="1" max="1" width="13.42578125" bestFit="1" customWidth="1"/>
    <col min="2" max="2" width="15.5703125" bestFit="1" customWidth="1"/>
    <col min="3" max="3" width="12.5703125" bestFit="1" customWidth="1"/>
    <col min="4" max="4" width="14.28515625" bestFit="1" customWidth="1"/>
    <col min="5" max="5" width="15.5703125" bestFit="1" customWidth="1"/>
    <col min="6" max="6" width="16.7109375" bestFit="1" customWidth="1"/>
    <col min="7" max="7" width="14.140625" bestFit="1" customWidth="1"/>
    <col min="8" max="8" width="18.5703125" bestFit="1" customWidth="1"/>
    <col min="9" max="9" width="16.7109375" bestFit="1" customWidth="1"/>
    <col min="10" max="10" width="15.28515625" bestFit="1" customWidth="1"/>
    <col min="11" max="11" width="14.42578125" bestFit="1" customWidth="1"/>
    <col min="12" max="12" width="15.42578125" bestFit="1" customWidth="1"/>
    <col min="13" max="13" width="21" bestFit="1" customWidth="1"/>
    <col min="14" max="14" width="16.85546875" bestFit="1" customWidth="1"/>
    <col min="15" max="15" width="18.85546875" bestFit="1" customWidth="1"/>
    <col min="16" max="16" width="17.85546875" bestFit="1" customWidth="1"/>
    <col min="17" max="17" width="17" bestFit="1" customWidth="1"/>
    <col min="18" max="18" width="12.5703125" bestFit="1" customWidth="1"/>
  </cols>
  <sheetData>
    <row r="1" spans="1:18" x14ac:dyDescent="0.25">
      <c r="A1" s="13" t="s">
        <v>0</v>
      </c>
      <c r="B1" s="14" t="s">
        <v>1</v>
      </c>
      <c r="C1" s="13" t="s">
        <v>2</v>
      </c>
      <c r="D1" s="13" t="s">
        <v>3</v>
      </c>
      <c r="E1" s="13" t="s">
        <v>4</v>
      </c>
      <c r="F1" s="13" t="s">
        <v>5</v>
      </c>
      <c r="G1" s="13" t="s">
        <v>6</v>
      </c>
      <c r="H1" s="13" t="s">
        <v>7</v>
      </c>
      <c r="I1" s="13" t="s">
        <v>8</v>
      </c>
      <c r="J1" s="13" t="s">
        <v>9</v>
      </c>
      <c r="K1" s="13" t="s">
        <v>10</v>
      </c>
      <c r="L1" s="13" t="s">
        <v>11</v>
      </c>
      <c r="M1" s="13" t="s">
        <v>12</v>
      </c>
      <c r="N1" s="13" t="s">
        <v>13</v>
      </c>
      <c r="O1" s="13" t="s">
        <v>14</v>
      </c>
      <c r="P1" s="2" t="s">
        <v>322</v>
      </c>
      <c r="Q1" s="2" t="s">
        <v>323</v>
      </c>
      <c r="R1" s="2" t="s">
        <v>334</v>
      </c>
    </row>
    <row r="2" spans="1:18" x14ac:dyDescent="0.25">
      <c r="A2" s="3" t="s">
        <v>15</v>
      </c>
      <c r="B2" s="5">
        <v>45729</v>
      </c>
      <c r="C2" s="3" t="s">
        <v>16</v>
      </c>
      <c r="D2" s="3" t="s">
        <v>17</v>
      </c>
      <c r="E2" s="3" t="s">
        <v>18</v>
      </c>
      <c r="F2" s="3" t="s">
        <v>19</v>
      </c>
      <c r="G2" s="3">
        <v>4</v>
      </c>
      <c r="H2" s="6">
        <v>5400</v>
      </c>
      <c r="I2" s="7">
        <v>0.05</v>
      </c>
      <c r="J2" s="6">
        <v>20520</v>
      </c>
      <c r="K2" s="6">
        <v>14400</v>
      </c>
      <c r="L2" s="6">
        <v>6120</v>
      </c>
      <c r="M2" s="3" t="s">
        <v>20</v>
      </c>
      <c r="N2" s="3" t="s">
        <v>21</v>
      </c>
      <c r="O2" s="3" t="s">
        <v>22</v>
      </c>
      <c r="P2">
        <f>IFERROR(L2/J2,0)</f>
        <v>0.2982456140350877</v>
      </c>
      <c r="Q2" t="str">
        <f t="shared" ref="Q2:Q65" si="0">IF(L2&lt;0,"Loss",IF(L2&lt;500,"Low Profit","Good Profit"))</f>
        <v>Good Profit</v>
      </c>
      <c r="R2" t="str">
        <f t="shared" ref="R2:R65" si="1">IF(AND(J2&gt;5000,L2&gt;1000),"High Value","Normal")</f>
        <v>High Value</v>
      </c>
    </row>
    <row r="3" spans="1:18" x14ac:dyDescent="0.25">
      <c r="A3" t="s">
        <v>23</v>
      </c>
      <c r="B3" s="8">
        <v>45916</v>
      </c>
      <c r="C3" t="s">
        <v>24</v>
      </c>
      <c r="D3" t="s">
        <v>25</v>
      </c>
      <c r="E3" t="s">
        <v>26</v>
      </c>
      <c r="F3" t="s">
        <v>27</v>
      </c>
      <c r="G3">
        <v>4</v>
      </c>
      <c r="H3" s="1">
        <v>650</v>
      </c>
      <c r="I3" s="9">
        <v>0.05</v>
      </c>
      <c r="J3" s="1">
        <v>2470</v>
      </c>
      <c r="K3" s="1">
        <v>1520</v>
      </c>
      <c r="L3" s="1">
        <v>950</v>
      </c>
      <c r="M3" t="s">
        <v>28</v>
      </c>
      <c r="N3" t="s">
        <v>29</v>
      </c>
      <c r="O3" t="s">
        <v>22</v>
      </c>
      <c r="P3">
        <f t="shared" ref="P3:P66" si="2">IFERROR(L3/J3,0)</f>
        <v>0.38461538461538464</v>
      </c>
      <c r="Q3" t="str">
        <f t="shared" si="0"/>
        <v>Good Profit</v>
      </c>
      <c r="R3" t="str">
        <f t="shared" si="1"/>
        <v>Normal</v>
      </c>
    </row>
    <row r="4" spans="1:18" x14ac:dyDescent="0.25">
      <c r="A4" s="3" t="s">
        <v>30</v>
      </c>
      <c r="B4" s="5">
        <v>45661</v>
      </c>
      <c r="C4" s="3" t="s">
        <v>31</v>
      </c>
      <c r="D4" s="3" t="s">
        <v>32</v>
      </c>
      <c r="E4" s="3" t="s">
        <v>26</v>
      </c>
      <c r="F4" s="3" t="s">
        <v>33</v>
      </c>
      <c r="G4" s="3">
        <v>10</v>
      </c>
      <c r="H4" s="6">
        <v>550</v>
      </c>
      <c r="I4" s="7">
        <v>0.1</v>
      </c>
      <c r="J4" s="6">
        <v>4950</v>
      </c>
      <c r="K4" s="6">
        <v>3000</v>
      </c>
      <c r="L4" s="6">
        <v>1950</v>
      </c>
      <c r="M4" s="3" t="s">
        <v>34</v>
      </c>
      <c r="N4" s="3" t="s">
        <v>35</v>
      </c>
      <c r="O4" s="3" t="s">
        <v>36</v>
      </c>
      <c r="P4">
        <f t="shared" si="2"/>
        <v>0.39393939393939392</v>
      </c>
      <c r="Q4" t="str">
        <f t="shared" si="0"/>
        <v>Good Profit</v>
      </c>
      <c r="R4" t="str">
        <f t="shared" si="1"/>
        <v>Normal</v>
      </c>
    </row>
    <row r="5" spans="1:18" x14ac:dyDescent="0.25">
      <c r="A5" t="s">
        <v>37</v>
      </c>
      <c r="B5" s="8">
        <v>45852</v>
      </c>
      <c r="C5" t="s">
        <v>38</v>
      </c>
      <c r="D5" t="s">
        <v>39</v>
      </c>
      <c r="E5" t="s">
        <v>26</v>
      </c>
      <c r="F5" t="s">
        <v>40</v>
      </c>
      <c r="G5">
        <v>2</v>
      </c>
      <c r="H5" s="1">
        <v>1800</v>
      </c>
      <c r="I5" s="9">
        <v>0</v>
      </c>
      <c r="J5" s="1">
        <v>3600</v>
      </c>
      <c r="K5" s="1">
        <v>2300</v>
      </c>
      <c r="L5" s="1">
        <v>1300</v>
      </c>
      <c r="M5" t="s">
        <v>20</v>
      </c>
      <c r="N5" t="s">
        <v>41</v>
      </c>
      <c r="O5" t="s">
        <v>36</v>
      </c>
      <c r="P5">
        <f t="shared" si="2"/>
        <v>0.3611111111111111</v>
      </c>
      <c r="Q5" t="str">
        <f t="shared" si="0"/>
        <v>Good Profit</v>
      </c>
      <c r="R5" t="str">
        <f t="shared" si="1"/>
        <v>Normal</v>
      </c>
    </row>
    <row r="6" spans="1:18" x14ac:dyDescent="0.25">
      <c r="A6" s="3" t="s">
        <v>42</v>
      </c>
      <c r="B6" s="5">
        <v>45851</v>
      </c>
      <c r="C6" s="3" t="s">
        <v>38</v>
      </c>
      <c r="D6" s="3" t="s">
        <v>43</v>
      </c>
      <c r="E6" s="3" t="s">
        <v>18</v>
      </c>
      <c r="F6" s="3" t="s">
        <v>44</v>
      </c>
      <c r="G6" s="3">
        <v>9</v>
      </c>
      <c r="H6" s="6">
        <v>950</v>
      </c>
      <c r="I6" s="7">
        <v>0</v>
      </c>
      <c r="J6" s="6">
        <v>8550</v>
      </c>
      <c r="K6" s="6">
        <v>4680</v>
      </c>
      <c r="L6" s="6">
        <v>3870</v>
      </c>
      <c r="M6" s="3" t="s">
        <v>20</v>
      </c>
      <c r="N6" s="3" t="s">
        <v>45</v>
      </c>
      <c r="O6" s="3" t="s">
        <v>22</v>
      </c>
      <c r="P6">
        <f t="shared" si="2"/>
        <v>0.45263157894736844</v>
      </c>
      <c r="Q6" t="str">
        <f t="shared" si="0"/>
        <v>Good Profit</v>
      </c>
      <c r="R6" t="str">
        <f t="shared" si="1"/>
        <v>High Value</v>
      </c>
    </row>
    <row r="7" spans="1:18" x14ac:dyDescent="0.25">
      <c r="A7" t="s">
        <v>46</v>
      </c>
      <c r="B7" s="8">
        <v>45806</v>
      </c>
      <c r="C7" t="s">
        <v>38</v>
      </c>
      <c r="D7" t="s">
        <v>39</v>
      </c>
      <c r="E7" t="s">
        <v>18</v>
      </c>
      <c r="F7" t="s">
        <v>47</v>
      </c>
      <c r="G7">
        <v>1</v>
      </c>
      <c r="H7" s="1">
        <v>6200</v>
      </c>
      <c r="I7" s="9">
        <v>0.05</v>
      </c>
      <c r="J7" s="1">
        <v>5890</v>
      </c>
      <c r="K7" s="1">
        <v>4300</v>
      </c>
      <c r="L7" s="1">
        <v>1590</v>
      </c>
      <c r="M7" t="s">
        <v>20</v>
      </c>
      <c r="N7" t="s">
        <v>48</v>
      </c>
      <c r="O7" t="s">
        <v>49</v>
      </c>
      <c r="P7">
        <f t="shared" si="2"/>
        <v>0.2699490662139219</v>
      </c>
      <c r="Q7" t="str">
        <f t="shared" si="0"/>
        <v>Good Profit</v>
      </c>
      <c r="R7" t="str">
        <f t="shared" si="1"/>
        <v>High Value</v>
      </c>
    </row>
    <row r="8" spans="1:18" x14ac:dyDescent="0.25">
      <c r="A8" s="3" t="s">
        <v>50</v>
      </c>
      <c r="B8" s="5">
        <v>45847</v>
      </c>
      <c r="C8" s="3" t="s">
        <v>24</v>
      </c>
      <c r="D8" s="3" t="s">
        <v>51</v>
      </c>
      <c r="E8" s="3" t="s">
        <v>52</v>
      </c>
      <c r="F8" s="3" t="s">
        <v>53</v>
      </c>
      <c r="G8" s="3">
        <v>6</v>
      </c>
      <c r="H8" s="6">
        <v>90</v>
      </c>
      <c r="I8" s="7">
        <v>0.05</v>
      </c>
      <c r="J8" s="6">
        <v>513</v>
      </c>
      <c r="K8" s="6">
        <v>240</v>
      </c>
      <c r="L8" s="6">
        <v>273</v>
      </c>
      <c r="M8" s="3" t="s">
        <v>54</v>
      </c>
      <c r="N8" s="3" t="s">
        <v>48</v>
      </c>
      <c r="O8" s="3" t="s">
        <v>22</v>
      </c>
      <c r="P8">
        <f t="shared" si="2"/>
        <v>0.53216374269005851</v>
      </c>
      <c r="Q8" t="str">
        <f t="shared" si="0"/>
        <v>Low Profit</v>
      </c>
      <c r="R8" t="str">
        <f t="shared" si="1"/>
        <v>Normal</v>
      </c>
    </row>
    <row r="9" spans="1:18" x14ac:dyDescent="0.25">
      <c r="A9" t="s">
        <v>55</v>
      </c>
      <c r="B9" s="8">
        <v>45783</v>
      </c>
      <c r="C9" t="s">
        <v>38</v>
      </c>
      <c r="D9" t="s">
        <v>43</v>
      </c>
      <c r="E9" t="s">
        <v>18</v>
      </c>
      <c r="F9" t="s">
        <v>56</v>
      </c>
      <c r="G9">
        <v>3</v>
      </c>
      <c r="H9" s="1">
        <v>8900</v>
      </c>
      <c r="I9" s="9">
        <v>0.2</v>
      </c>
      <c r="J9" s="1">
        <v>21360</v>
      </c>
      <c r="K9" s="1">
        <v>19200</v>
      </c>
      <c r="L9" s="1">
        <v>2160</v>
      </c>
      <c r="M9" t="s">
        <v>34</v>
      </c>
      <c r="N9" t="s">
        <v>57</v>
      </c>
      <c r="O9" t="s">
        <v>36</v>
      </c>
      <c r="P9">
        <f t="shared" si="2"/>
        <v>0.10112359550561797</v>
      </c>
      <c r="Q9" t="str">
        <f t="shared" si="0"/>
        <v>Good Profit</v>
      </c>
      <c r="R9" t="str">
        <f t="shared" si="1"/>
        <v>High Value</v>
      </c>
    </row>
    <row r="10" spans="1:18" x14ac:dyDescent="0.25">
      <c r="A10" s="3" t="s">
        <v>58</v>
      </c>
      <c r="B10" s="5">
        <v>45674</v>
      </c>
      <c r="C10" s="3" t="s">
        <v>38</v>
      </c>
      <c r="D10" s="3" t="s">
        <v>39</v>
      </c>
      <c r="E10" s="3" t="s">
        <v>18</v>
      </c>
      <c r="F10" s="3" t="s">
        <v>19</v>
      </c>
      <c r="G10" s="3">
        <v>1</v>
      </c>
      <c r="H10" s="6">
        <v>5400</v>
      </c>
      <c r="I10" s="7">
        <v>0.05</v>
      </c>
      <c r="J10" s="6">
        <v>5130</v>
      </c>
      <c r="K10" s="6">
        <v>3600</v>
      </c>
      <c r="L10" s="6">
        <v>1530</v>
      </c>
      <c r="M10" s="3" t="s">
        <v>54</v>
      </c>
      <c r="N10" s="3" t="s">
        <v>35</v>
      </c>
      <c r="O10" s="3" t="s">
        <v>36</v>
      </c>
      <c r="P10">
        <f t="shared" si="2"/>
        <v>0.2982456140350877</v>
      </c>
      <c r="Q10" t="str">
        <f t="shared" si="0"/>
        <v>Good Profit</v>
      </c>
      <c r="R10" t="str">
        <f t="shared" si="1"/>
        <v>High Value</v>
      </c>
    </row>
    <row r="11" spans="1:18" x14ac:dyDescent="0.25">
      <c r="A11" t="s">
        <v>59</v>
      </c>
      <c r="B11" s="8">
        <v>45993</v>
      </c>
      <c r="C11" t="s">
        <v>16</v>
      </c>
      <c r="D11" t="s">
        <v>60</v>
      </c>
      <c r="E11" t="s">
        <v>18</v>
      </c>
      <c r="F11" t="s">
        <v>56</v>
      </c>
      <c r="G11">
        <v>6</v>
      </c>
      <c r="H11" s="1">
        <v>8900</v>
      </c>
      <c r="I11" s="9">
        <v>0.05</v>
      </c>
      <c r="J11" s="1">
        <v>50730</v>
      </c>
      <c r="K11" s="1">
        <v>38400</v>
      </c>
      <c r="L11" s="1">
        <v>12330</v>
      </c>
      <c r="M11" t="s">
        <v>61</v>
      </c>
      <c r="N11" t="s">
        <v>35</v>
      </c>
      <c r="O11" t="s">
        <v>22</v>
      </c>
      <c r="P11">
        <f t="shared" si="2"/>
        <v>0.24305144884683619</v>
      </c>
      <c r="Q11" t="str">
        <f t="shared" si="0"/>
        <v>Good Profit</v>
      </c>
      <c r="R11" t="str">
        <f t="shared" si="1"/>
        <v>High Value</v>
      </c>
    </row>
    <row r="12" spans="1:18" x14ac:dyDescent="0.25">
      <c r="A12" s="3" t="s">
        <v>62</v>
      </c>
      <c r="B12" s="5">
        <v>45933</v>
      </c>
      <c r="C12" s="3" t="s">
        <v>24</v>
      </c>
      <c r="D12" s="3" t="s">
        <v>63</v>
      </c>
      <c r="E12" s="3" t="s">
        <v>52</v>
      </c>
      <c r="F12" s="3" t="s">
        <v>64</v>
      </c>
      <c r="G12" s="3">
        <v>4</v>
      </c>
      <c r="H12" s="6">
        <v>120</v>
      </c>
      <c r="I12" s="7">
        <v>0.2</v>
      </c>
      <c r="J12" s="6">
        <v>384</v>
      </c>
      <c r="K12" s="6">
        <v>220</v>
      </c>
      <c r="L12" s="6">
        <v>164</v>
      </c>
      <c r="M12" s="3" t="s">
        <v>54</v>
      </c>
      <c r="N12" s="3" t="s">
        <v>35</v>
      </c>
      <c r="O12" s="3" t="s">
        <v>22</v>
      </c>
      <c r="P12">
        <f t="shared" si="2"/>
        <v>0.42708333333333331</v>
      </c>
      <c r="Q12" t="str">
        <f t="shared" si="0"/>
        <v>Low Profit</v>
      </c>
      <c r="R12" t="str">
        <f t="shared" si="1"/>
        <v>Normal</v>
      </c>
    </row>
    <row r="13" spans="1:18" x14ac:dyDescent="0.25">
      <c r="A13" t="s">
        <v>65</v>
      </c>
      <c r="B13" s="8">
        <v>45704</v>
      </c>
      <c r="C13" t="s">
        <v>24</v>
      </c>
      <c r="D13" t="s">
        <v>51</v>
      </c>
      <c r="E13" t="s">
        <v>26</v>
      </c>
      <c r="F13" t="s">
        <v>66</v>
      </c>
      <c r="G13">
        <v>9</v>
      </c>
      <c r="H13" s="1">
        <v>950</v>
      </c>
      <c r="I13" s="9">
        <v>0.15</v>
      </c>
      <c r="J13" s="1">
        <v>7267.5</v>
      </c>
      <c r="K13" s="1">
        <v>5130</v>
      </c>
      <c r="L13" s="1">
        <v>2137.5</v>
      </c>
      <c r="M13" t="s">
        <v>20</v>
      </c>
      <c r="N13" t="s">
        <v>21</v>
      </c>
      <c r="O13" t="s">
        <v>49</v>
      </c>
      <c r="P13">
        <f t="shared" si="2"/>
        <v>0.29411764705882354</v>
      </c>
      <c r="Q13" t="str">
        <f t="shared" si="0"/>
        <v>Good Profit</v>
      </c>
      <c r="R13" t="str">
        <f t="shared" si="1"/>
        <v>High Value</v>
      </c>
    </row>
    <row r="14" spans="1:18" x14ac:dyDescent="0.25">
      <c r="A14" s="3" t="s">
        <v>67</v>
      </c>
      <c r="B14" s="5">
        <v>45963</v>
      </c>
      <c r="C14" s="3" t="s">
        <v>31</v>
      </c>
      <c r="D14" s="3" t="s">
        <v>32</v>
      </c>
      <c r="E14" s="3" t="s">
        <v>18</v>
      </c>
      <c r="F14" s="3" t="s">
        <v>47</v>
      </c>
      <c r="G14" s="3">
        <v>7</v>
      </c>
      <c r="H14" s="6">
        <v>6200</v>
      </c>
      <c r="I14" s="7">
        <v>0.15</v>
      </c>
      <c r="J14" s="6">
        <v>36890</v>
      </c>
      <c r="K14" s="6">
        <v>30100</v>
      </c>
      <c r="L14" s="6">
        <v>6790</v>
      </c>
      <c r="M14" s="3" t="s">
        <v>61</v>
      </c>
      <c r="N14" s="3" t="s">
        <v>45</v>
      </c>
      <c r="O14" s="3" t="s">
        <v>22</v>
      </c>
      <c r="P14">
        <f t="shared" si="2"/>
        <v>0.18406072106261859</v>
      </c>
      <c r="Q14" t="str">
        <f t="shared" si="0"/>
        <v>Good Profit</v>
      </c>
      <c r="R14" t="str">
        <f t="shared" si="1"/>
        <v>High Value</v>
      </c>
    </row>
    <row r="15" spans="1:18" x14ac:dyDescent="0.25">
      <c r="A15" t="s">
        <v>68</v>
      </c>
      <c r="B15" s="8">
        <v>45715</v>
      </c>
      <c r="C15" t="s">
        <v>16</v>
      </c>
      <c r="D15" t="s">
        <v>17</v>
      </c>
      <c r="E15" t="s">
        <v>18</v>
      </c>
      <c r="F15" t="s">
        <v>69</v>
      </c>
      <c r="G15">
        <v>5</v>
      </c>
      <c r="H15" s="1">
        <v>1600</v>
      </c>
      <c r="I15" s="9">
        <v>0.1</v>
      </c>
      <c r="J15" s="1">
        <v>7200</v>
      </c>
      <c r="K15" s="1">
        <v>4750</v>
      </c>
      <c r="L15" s="1">
        <v>2450</v>
      </c>
      <c r="M15" t="s">
        <v>54</v>
      </c>
      <c r="N15" t="s">
        <v>35</v>
      </c>
      <c r="O15" t="s">
        <v>49</v>
      </c>
      <c r="P15">
        <f t="shared" si="2"/>
        <v>0.34027777777777779</v>
      </c>
      <c r="Q15" t="str">
        <f t="shared" si="0"/>
        <v>Good Profit</v>
      </c>
      <c r="R15" t="str">
        <f t="shared" si="1"/>
        <v>High Value</v>
      </c>
    </row>
    <row r="16" spans="1:18" x14ac:dyDescent="0.25">
      <c r="A16" s="3" t="s">
        <v>70</v>
      </c>
      <c r="B16" s="5">
        <v>45749</v>
      </c>
      <c r="C16" s="3" t="s">
        <v>24</v>
      </c>
      <c r="D16" s="3" t="s">
        <v>25</v>
      </c>
      <c r="E16" s="3" t="s">
        <v>18</v>
      </c>
      <c r="F16" s="3" t="s">
        <v>56</v>
      </c>
      <c r="G16" s="3">
        <v>5</v>
      </c>
      <c r="H16" s="6">
        <v>8900</v>
      </c>
      <c r="I16" s="7">
        <v>0.2</v>
      </c>
      <c r="J16" s="6">
        <v>35600</v>
      </c>
      <c r="K16" s="6">
        <v>32000</v>
      </c>
      <c r="L16" s="6">
        <v>3600</v>
      </c>
      <c r="M16" s="3" t="s">
        <v>28</v>
      </c>
      <c r="N16" s="3" t="s">
        <v>21</v>
      </c>
      <c r="O16" s="3" t="s">
        <v>22</v>
      </c>
      <c r="P16">
        <f t="shared" si="2"/>
        <v>0.10112359550561797</v>
      </c>
      <c r="Q16" t="str">
        <f t="shared" si="0"/>
        <v>Good Profit</v>
      </c>
      <c r="R16" t="str">
        <f t="shared" si="1"/>
        <v>High Value</v>
      </c>
    </row>
    <row r="17" spans="1:18" x14ac:dyDescent="0.25">
      <c r="A17" t="s">
        <v>71</v>
      </c>
      <c r="B17" s="8">
        <v>45929</v>
      </c>
      <c r="C17" t="s">
        <v>38</v>
      </c>
      <c r="D17" t="s">
        <v>39</v>
      </c>
      <c r="E17" t="s">
        <v>26</v>
      </c>
      <c r="F17" t="s">
        <v>40</v>
      </c>
      <c r="G17">
        <v>3</v>
      </c>
      <c r="H17" s="1">
        <v>1800</v>
      </c>
      <c r="I17" s="9">
        <v>0.2</v>
      </c>
      <c r="J17" s="1">
        <v>4320</v>
      </c>
      <c r="K17" s="1">
        <v>3450</v>
      </c>
      <c r="L17" s="1">
        <v>870</v>
      </c>
      <c r="M17" t="s">
        <v>20</v>
      </c>
      <c r="N17" t="s">
        <v>41</v>
      </c>
      <c r="O17" t="s">
        <v>36</v>
      </c>
      <c r="P17">
        <f t="shared" si="2"/>
        <v>0.2013888888888889</v>
      </c>
      <c r="Q17" t="str">
        <f t="shared" si="0"/>
        <v>Good Profit</v>
      </c>
      <c r="R17" t="str">
        <f t="shared" si="1"/>
        <v>Normal</v>
      </c>
    </row>
    <row r="18" spans="1:18" x14ac:dyDescent="0.25">
      <c r="A18" s="3" t="s">
        <v>72</v>
      </c>
      <c r="B18" s="5">
        <v>45781</v>
      </c>
      <c r="C18" s="3" t="s">
        <v>16</v>
      </c>
      <c r="D18" s="3" t="s">
        <v>17</v>
      </c>
      <c r="E18" s="3" t="s">
        <v>52</v>
      </c>
      <c r="F18" s="3" t="s">
        <v>73</v>
      </c>
      <c r="G18" s="3">
        <v>4</v>
      </c>
      <c r="H18" s="6">
        <v>450</v>
      </c>
      <c r="I18" s="7">
        <v>0</v>
      </c>
      <c r="J18" s="6">
        <v>1800</v>
      </c>
      <c r="K18" s="6">
        <v>960</v>
      </c>
      <c r="L18" s="6">
        <v>840</v>
      </c>
      <c r="M18" s="3" t="s">
        <v>28</v>
      </c>
      <c r="N18" s="3" t="s">
        <v>21</v>
      </c>
      <c r="O18" s="3" t="s">
        <v>49</v>
      </c>
      <c r="P18">
        <f t="shared" si="2"/>
        <v>0.46666666666666667</v>
      </c>
      <c r="Q18" t="str">
        <f t="shared" si="0"/>
        <v>Good Profit</v>
      </c>
      <c r="R18" t="str">
        <f t="shared" si="1"/>
        <v>Normal</v>
      </c>
    </row>
    <row r="19" spans="1:18" x14ac:dyDescent="0.25">
      <c r="A19" t="s">
        <v>74</v>
      </c>
      <c r="B19" s="8">
        <v>45939</v>
      </c>
      <c r="C19" t="s">
        <v>24</v>
      </c>
      <c r="D19" t="s">
        <v>25</v>
      </c>
      <c r="E19" t="s">
        <v>18</v>
      </c>
      <c r="F19" t="s">
        <v>75</v>
      </c>
      <c r="G19">
        <v>3</v>
      </c>
      <c r="H19" s="1">
        <v>7800</v>
      </c>
      <c r="I19" s="9">
        <v>0.15</v>
      </c>
      <c r="J19" s="1">
        <v>19890</v>
      </c>
      <c r="K19" s="1">
        <v>16500</v>
      </c>
      <c r="L19" s="1">
        <v>3390</v>
      </c>
      <c r="M19" t="s">
        <v>34</v>
      </c>
      <c r="N19" t="s">
        <v>45</v>
      </c>
      <c r="O19" t="s">
        <v>22</v>
      </c>
      <c r="P19">
        <f t="shared" si="2"/>
        <v>0.17043740573152338</v>
      </c>
      <c r="Q19" t="str">
        <f t="shared" si="0"/>
        <v>Good Profit</v>
      </c>
      <c r="R19" t="str">
        <f t="shared" si="1"/>
        <v>High Value</v>
      </c>
    </row>
    <row r="20" spans="1:18" x14ac:dyDescent="0.25">
      <c r="A20" s="3" t="s">
        <v>76</v>
      </c>
      <c r="B20" s="5">
        <v>45817</v>
      </c>
      <c r="C20" s="3" t="s">
        <v>24</v>
      </c>
      <c r="D20" s="3" t="s">
        <v>63</v>
      </c>
      <c r="E20" s="3" t="s">
        <v>18</v>
      </c>
      <c r="F20" s="3" t="s">
        <v>56</v>
      </c>
      <c r="G20" s="3">
        <v>12</v>
      </c>
      <c r="H20" s="6">
        <v>8900</v>
      </c>
      <c r="I20" s="7">
        <v>0.05</v>
      </c>
      <c r="J20" s="6">
        <v>101460</v>
      </c>
      <c r="K20" s="6">
        <v>76800</v>
      </c>
      <c r="L20" s="6">
        <v>24660</v>
      </c>
      <c r="M20" s="3" t="s">
        <v>61</v>
      </c>
      <c r="N20" s="3" t="s">
        <v>41</v>
      </c>
      <c r="O20" s="3" t="s">
        <v>36</v>
      </c>
      <c r="P20">
        <f t="shared" si="2"/>
        <v>0.24305144884683619</v>
      </c>
      <c r="Q20" t="str">
        <f t="shared" si="0"/>
        <v>Good Profit</v>
      </c>
      <c r="R20" t="str">
        <f t="shared" si="1"/>
        <v>High Value</v>
      </c>
    </row>
    <row r="21" spans="1:18" x14ac:dyDescent="0.25">
      <c r="A21" t="s">
        <v>77</v>
      </c>
      <c r="B21" s="8">
        <v>45668</v>
      </c>
      <c r="C21" t="s">
        <v>24</v>
      </c>
      <c r="D21" t="s">
        <v>25</v>
      </c>
      <c r="E21" t="s">
        <v>26</v>
      </c>
      <c r="F21" t="s">
        <v>66</v>
      </c>
      <c r="G21">
        <v>2</v>
      </c>
      <c r="H21" s="1">
        <v>950</v>
      </c>
      <c r="I21" s="9">
        <v>0.1</v>
      </c>
      <c r="J21" s="1">
        <v>1710</v>
      </c>
      <c r="K21" s="1">
        <v>1140</v>
      </c>
      <c r="L21" s="1">
        <v>570</v>
      </c>
      <c r="M21" t="s">
        <v>28</v>
      </c>
      <c r="N21" t="s">
        <v>48</v>
      </c>
      <c r="O21" t="s">
        <v>22</v>
      </c>
      <c r="P21">
        <f t="shared" si="2"/>
        <v>0.33333333333333331</v>
      </c>
      <c r="Q21" t="str">
        <f t="shared" si="0"/>
        <v>Good Profit</v>
      </c>
      <c r="R21" t="str">
        <f t="shared" si="1"/>
        <v>Normal</v>
      </c>
    </row>
    <row r="22" spans="1:18" x14ac:dyDescent="0.25">
      <c r="A22" s="3" t="s">
        <v>78</v>
      </c>
      <c r="B22" s="5">
        <v>45775</v>
      </c>
      <c r="C22" s="3" t="s">
        <v>31</v>
      </c>
      <c r="D22" s="3" t="s">
        <v>79</v>
      </c>
      <c r="E22" s="3" t="s">
        <v>26</v>
      </c>
      <c r="F22" s="3" t="s">
        <v>80</v>
      </c>
      <c r="G22" s="3">
        <v>11</v>
      </c>
      <c r="H22" s="6">
        <v>1200</v>
      </c>
      <c r="I22" s="7">
        <v>0</v>
      </c>
      <c r="J22" s="6">
        <v>13200</v>
      </c>
      <c r="K22" s="6">
        <v>7700</v>
      </c>
      <c r="L22" s="6">
        <v>5500</v>
      </c>
      <c r="M22" s="3" t="s">
        <v>20</v>
      </c>
      <c r="N22" s="3" t="s">
        <v>29</v>
      </c>
      <c r="O22" s="3" t="s">
        <v>36</v>
      </c>
      <c r="P22">
        <f t="shared" si="2"/>
        <v>0.41666666666666669</v>
      </c>
      <c r="Q22" t="str">
        <f t="shared" si="0"/>
        <v>Good Profit</v>
      </c>
      <c r="R22" t="str">
        <f t="shared" si="1"/>
        <v>High Value</v>
      </c>
    </row>
    <row r="23" spans="1:18" x14ac:dyDescent="0.25">
      <c r="A23" t="s">
        <v>81</v>
      </c>
      <c r="B23" s="8">
        <v>45934</v>
      </c>
      <c r="C23" t="s">
        <v>16</v>
      </c>
      <c r="D23" t="s">
        <v>60</v>
      </c>
      <c r="E23" t="s">
        <v>52</v>
      </c>
      <c r="F23" t="s">
        <v>53</v>
      </c>
      <c r="G23">
        <v>8</v>
      </c>
      <c r="H23" s="1">
        <v>90</v>
      </c>
      <c r="I23" s="9">
        <v>0.05</v>
      </c>
      <c r="J23" s="1">
        <v>684</v>
      </c>
      <c r="K23" s="1">
        <v>320</v>
      </c>
      <c r="L23" s="1">
        <v>364</v>
      </c>
      <c r="M23" t="s">
        <v>34</v>
      </c>
      <c r="N23" t="s">
        <v>57</v>
      </c>
      <c r="O23" t="s">
        <v>49</v>
      </c>
      <c r="P23">
        <f t="shared" si="2"/>
        <v>0.53216374269005851</v>
      </c>
      <c r="Q23" t="str">
        <f t="shared" si="0"/>
        <v>Low Profit</v>
      </c>
      <c r="R23" t="str">
        <f t="shared" si="1"/>
        <v>Normal</v>
      </c>
    </row>
    <row r="24" spans="1:18" x14ac:dyDescent="0.25">
      <c r="A24" s="3" t="s">
        <v>82</v>
      </c>
      <c r="B24" s="5">
        <v>45839</v>
      </c>
      <c r="C24" s="3" t="s">
        <v>24</v>
      </c>
      <c r="D24" s="3" t="s">
        <v>83</v>
      </c>
      <c r="E24" s="3" t="s">
        <v>26</v>
      </c>
      <c r="F24" s="3" t="s">
        <v>27</v>
      </c>
      <c r="G24" s="3">
        <v>2</v>
      </c>
      <c r="H24" s="6">
        <v>650</v>
      </c>
      <c r="I24" s="7">
        <v>0.15</v>
      </c>
      <c r="J24" s="6">
        <v>1105</v>
      </c>
      <c r="K24" s="6">
        <v>760</v>
      </c>
      <c r="L24" s="6">
        <v>345</v>
      </c>
      <c r="M24" s="3" t="s">
        <v>61</v>
      </c>
      <c r="N24" s="3" t="s">
        <v>35</v>
      </c>
      <c r="O24" s="3" t="s">
        <v>36</v>
      </c>
      <c r="P24">
        <f t="shared" si="2"/>
        <v>0.31221719457013575</v>
      </c>
      <c r="Q24" t="str">
        <f t="shared" si="0"/>
        <v>Low Profit</v>
      </c>
      <c r="R24" t="str">
        <f t="shared" si="1"/>
        <v>Normal</v>
      </c>
    </row>
    <row r="25" spans="1:18" x14ac:dyDescent="0.25">
      <c r="A25" t="s">
        <v>84</v>
      </c>
      <c r="B25" s="8">
        <v>45713</v>
      </c>
      <c r="C25" t="s">
        <v>16</v>
      </c>
      <c r="D25" t="s">
        <v>17</v>
      </c>
      <c r="E25" t="s">
        <v>26</v>
      </c>
      <c r="F25" t="s">
        <v>33</v>
      </c>
      <c r="G25">
        <v>12</v>
      </c>
      <c r="H25" s="1">
        <v>550</v>
      </c>
      <c r="I25" s="9">
        <v>0.1</v>
      </c>
      <c r="J25" s="1">
        <v>5940</v>
      </c>
      <c r="K25" s="1">
        <v>3600</v>
      </c>
      <c r="L25" s="1">
        <v>2340</v>
      </c>
      <c r="M25" t="s">
        <v>34</v>
      </c>
      <c r="N25" t="s">
        <v>48</v>
      </c>
      <c r="O25" t="s">
        <v>49</v>
      </c>
      <c r="P25">
        <f t="shared" si="2"/>
        <v>0.39393939393939392</v>
      </c>
      <c r="Q25" t="str">
        <f t="shared" si="0"/>
        <v>Good Profit</v>
      </c>
      <c r="R25" t="str">
        <f t="shared" si="1"/>
        <v>High Value</v>
      </c>
    </row>
    <row r="26" spans="1:18" x14ac:dyDescent="0.25">
      <c r="A26" s="3" t="s">
        <v>85</v>
      </c>
      <c r="B26" s="5">
        <v>45785</v>
      </c>
      <c r="C26" s="3" t="s">
        <v>24</v>
      </c>
      <c r="D26" s="3" t="s">
        <v>63</v>
      </c>
      <c r="E26" s="3" t="s">
        <v>52</v>
      </c>
      <c r="F26" s="3" t="s">
        <v>64</v>
      </c>
      <c r="G26" s="3">
        <v>5</v>
      </c>
      <c r="H26" s="6">
        <v>120</v>
      </c>
      <c r="I26" s="7">
        <v>0.15</v>
      </c>
      <c r="J26" s="6">
        <v>510</v>
      </c>
      <c r="K26" s="6">
        <v>275</v>
      </c>
      <c r="L26" s="6">
        <v>235</v>
      </c>
      <c r="M26" s="3" t="s">
        <v>20</v>
      </c>
      <c r="N26" s="3" t="s">
        <v>57</v>
      </c>
      <c r="O26" s="3" t="s">
        <v>22</v>
      </c>
      <c r="P26">
        <f t="shared" si="2"/>
        <v>0.46078431372549017</v>
      </c>
      <c r="Q26" t="str">
        <f t="shared" si="0"/>
        <v>Low Profit</v>
      </c>
      <c r="R26" t="str">
        <f t="shared" si="1"/>
        <v>Normal</v>
      </c>
    </row>
    <row r="27" spans="1:18" x14ac:dyDescent="0.25">
      <c r="A27" t="s">
        <v>86</v>
      </c>
      <c r="B27" s="8">
        <v>45779</v>
      </c>
      <c r="C27" t="s">
        <v>16</v>
      </c>
      <c r="D27" t="s">
        <v>17</v>
      </c>
      <c r="E27" t="s">
        <v>18</v>
      </c>
      <c r="F27" t="s">
        <v>69</v>
      </c>
      <c r="G27">
        <v>1</v>
      </c>
      <c r="H27" s="1">
        <v>1600</v>
      </c>
      <c r="I27" s="9">
        <v>0</v>
      </c>
      <c r="J27" s="1">
        <v>1600</v>
      </c>
      <c r="K27" s="1">
        <v>950</v>
      </c>
      <c r="L27" s="1">
        <v>650</v>
      </c>
      <c r="M27" t="s">
        <v>34</v>
      </c>
      <c r="N27" t="s">
        <v>35</v>
      </c>
      <c r="O27" t="s">
        <v>36</v>
      </c>
      <c r="P27">
        <f t="shared" si="2"/>
        <v>0.40625</v>
      </c>
      <c r="Q27" t="str">
        <f t="shared" si="0"/>
        <v>Good Profit</v>
      </c>
      <c r="R27" t="str">
        <f t="shared" si="1"/>
        <v>Normal</v>
      </c>
    </row>
    <row r="28" spans="1:18" x14ac:dyDescent="0.25">
      <c r="A28" s="3" t="s">
        <v>87</v>
      </c>
      <c r="B28" s="5">
        <v>45659</v>
      </c>
      <c r="C28" s="3" t="s">
        <v>24</v>
      </c>
      <c r="D28" s="3" t="s">
        <v>63</v>
      </c>
      <c r="E28" s="3" t="s">
        <v>52</v>
      </c>
      <c r="F28" s="3" t="s">
        <v>88</v>
      </c>
      <c r="G28" s="3">
        <v>3</v>
      </c>
      <c r="H28" s="6">
        <v>250</v>
      </c>
      <c r="I28" s="7">
        <v>0.15</v>
      </c>
      <c r="J28" s="6">
        <v>637.5</v>
      </c>
      <c r="K28" s="6">
        <v>390</v>
      </c>
      <c r="L28" s="6">
        <v>247.5</v>
      </c>
      <c r="M28" s="3" t="s">
        <v>61</v>
      </c>
      <c r="N28" s="3" t="s">
        <v>45</v>
      </c>
      <c r="O28" s="3" t="s">
        <v>36</v>
      </c>
      <c r="P28">
        <f t="shared" si="2"/>
        <v>0.38823529411764707</v>
      </c>
      <c r="Q28" t="str">
        <f t="shared" si="0"/>
        <v>Low Profit</v>
      </c>
      <c r="R28" t="str">
        <f t="shared" si="1"/>
        <v>Normal</v>
      </c>
    </row>
    <row r="29" spans="1:18" x14ac:dyDescent="0.25">
      <c r="A29" t="s">
        <v>89</v>
      </c>
      <c r="B29" s="8">
        <v>45737</v>
      </c>
      <c r="C29" t="s">
        <v>38</v>
      </c>
      <c r="D29" t="s">
        <v>90</v>
      </c>
      <c r="E29" t="s">
        <v>18</v>
      </c>
      <c r="F29" t="s">
        <v>56</v>
      </c>
      <c r="G29">
        <v>9</v>
      </c>
      <c r="H29" s="1">
        <v>8900</v>
      </c>
      <c r="I29" s="9">
        <v>0.15</v>
      </c>
      <c r="J29" s="1">
        <v>68085</v>
      </c>
      <c r="K29" s="1">
        <v>57600</v>
      </c>
      <c r="L29" s="1">
        <v>10485</v>
      </c>
      <c r="M29" t="s">
        <v>34</v>
      </c>
      <c r="N29" t="s">
        <v>45</v>
      </c>
      <c r="O29" t="s">
        <v>49</v>
      </c>
      <c r="P29">
        <f t="shared" si="2"/>
        <v>0.15399867812293458</v>
      </c>
      <c r="Q29" t="str">
        <f t="shared" si="0"/>
        <v>Good Profit</v>
      </c>
      <c r="R29" t="str">
        <f t="shared" si="1"/>
        <v>High Value</v>
      </c>
    </row>
    <row r="30" spans="1:18" x14ac:dyDescent="0.25">
      <c r="A30" s="3" t="s">
        <v>91</v>
      </c>
      <c r="B30" s="5">
        <v>45957</v>
      </c>
      <c r="C30" s="3" t="s">
        <v>16</v>
      </c>
      <c r="D30" s="3" t="s">
        <v>17</v>
      </c>
      <c r="E30" s="3" t="s">
        <v>18</v>
      </c>
      <c r="F30" s="3" t="s">
        <v>19</v>
      </c>
      <c r="G30" s="3">
        <v>1</v>
      </c>
      <c r="H30" s="6">
        <v>5400</v>
      </c>
      <c r="I30" s="7">
        <v>0</v>
      </c>
      <c r="J30" s="6">
        <v>5400</v>
      </c>
      <c r="K30" s="6">
        <v>3600</v>
      </c>
      <c r="L30" s="6">
        <v>1800</v>
      </c>
      <c r="M30" s="3" t="s">
        <v>61</v>
      </c>
      <c r="N30" s="3" t="s">
        <v>92</v>
      </c>
      <c r="O30" s="3" t="s">
        <v>49</v>
      </c>
      <c r="P30">
        <f t="shared" si="2"/>
        <v>0.33333333333333331</v>
      </c>
      <c r="Q30" t="str">
        <f t="shared" si="0"/>
        <v>Good Profit</v>
      </c>
      <c r="R30" t="str">
        <f t="shared" si="1"/>
        <v>High Value</v>
      </c>
    </row>
    <row r="31" spans="1:18" x14ac:dyDescent="0.25">
      <c r="A31" t="s">
        <v>93</v>
      </c>
      <c r="B31" s="8">
        <v>45864</v>
      </c>
      <c r="C31" t="s">
        <v>16</v>
      </c>
      <c r="D31" t="s">
        <v>60</v>
      </c>
      <c r="E31" t="s">
        <v>26</v>
      </c>
      <c r="F31" t="s">
        <v>94</v>
      </c>
      <c r="G31">
        <v>2</v>
      </c>
      <c r="H31" s="1">
        <v>9500</v>
      </c>
      <c r="I31" s="9">
        <v>0.05</v>
      </c>
      <c r="J31" s="1">
        <v>18050</v>
      </c>
      <c r="K31" s="1">
        <v>14400</v>
      </c>
      <c r="L31" s="1">
        <v>3650</v>
      </c>
      <c r="M31" t="s">
        <v>20</v>
      </c>
      <c r="N31" t="s">
        <v>48</v>
      </c>
      <c r="O31" t="s">
        <v>22</v>
      </c>
      <c r="P31">
        <f t="shared" si="2"/>
        <v>0.20221606648199447</v>
      </c>
      <c r="Q31" t="str">
        <f t="shared" si="0"/>
        <v>Good Profit</v>
      </c>
      <c r="R31" t="str">
        <f t="shared" si="1"/>
        <v>High Value</v>
      </c>
    </row>
    <row r="32" spans="1:18" x14ac:dyDescent="0.25">
      <c r="A32" s="3" t="s">
        <v>95</v>
      </c>
      <c r="B32" s="5">
        <v>45925</v>
      </c>
      <c r="C32" s="3" t="s">
        <v>16</v>
      </c>
      <c r="D32" s="3" t="s">
        <v>17</v>
      </c>
      <c r="E32" s="3" t="s">
        <v>52</v>
      </c>
      <c r="F32" s="3" t="s">
        <v>53</v>
      </c>
      <c r="G32" s="3">
        <v>10</v>
      </c>
      <c r="H32" s="6">
        <v>90</v>
      </c>
      <c r="I32" s="7">
        <v>0.2</v>
      </c>
      <c r="J32" s="6">
        <v>720</v>
      </c>
      <c r="K32" s="6">
        <v>400</v>
      </c>
      <c r="L32" s="6">
        <v>320</v>
      </c>
      <c r="M32" s="3" t="s">
        <v>54</v>
      </c>
      <c r="N32" s="3" t="s">
        <v>45</v>
      </c>
      <c r="O32" s="3" t="s">
        <v>49</v>
      </c>
      <c r="P32">
        <f t="shared" si="2"/>
        <v>0.44444444444444442</v>
      </c>
      <c r="Q32" t="str">
        <f t="shared" si="0"/>
        <v>Low Profit</v>
      </c>
      <c r="R32" t="str">
        <f t="shared" si="1"/>
        <v>Normal</v>
      </c>
    </row>
    <row r="33" spans="1:18" x14ac:dyDescent="0.25">
      <c r="A33" t="s">
        <v>96</v>
      </c>
      <c r="B33" s="8">
        <v>45892</v>
      </c>
      <c r="C33" t="s">
        <v>38</v>
      </c>
      <c r="D33" t="s">
        <v>39</v>
      </c>
      <c r="E33" t="s">
        <v>52</v>
      </c>
      <c r="F33" t="s">
        <v>97</v>
      </c>
      <c r="G33">
        <v>3</v>
      </c>
      <c r="H33" s="1">
        <v>380</v>
      </c>
      <c r="I33" s="9">
        <v>0.1</v>
      </c>
      <c r="J33" s="1">
        <v>1026</v>
      </c>
      <c r="K33" s="1">
        <v>750</v>
      </c>
      <c r="L33" s="1">
        <v>276</v>
      </c>
      <c r="M33" t="s">
        <v>54</v>
      </c>
      <c r="N33" t="s">
        <v>21</v>
      </c>
      <c r="O33" t="s">
        <v>49</v>
      </c>
      <c r="P33">
        <f t="shared" si="2"/>
        <v>0.26900584795321636</v>
      </c>
      <c r="Q33" t="str">
        <f t="shared" si="0"/>
        <v>Low Profit</v>
      </c>
      <c r="R33" t="str">
        <f t="shared" si="1"/>
        <v>Normal</v>
      </c>
    </row>
    <row r="34" spans="1:18" x14ac:dyDescent="0.25">
      <c r="A34" s="3" t="s">
        <v>98</v>
      </c>
      <c r="B34" s="5">
        <v>45793</v>
      </c>
      <c r="C34" s="3" t="s">
        <v>24</v>
      </c>
      <c r="D34" s="3" t="s">
        <v>25</v>
      </c>
      <c r="E34" s="3" t="s">
        <v>26</v>
      </c>
      <c r="F34" s="3" t="s">
        <v>94</v>
      </c>
      <c r="G34" s="3">
        <v>4</v>
      </c>
      <c r="H34" s="6">
        <v>9500</v>
      </c>
      <c r="I34" s="7">
        <v>0.2</v>
      </c>
      <c r="J34" s="6">
        <v>30400</v>
      </c>
      <c r="K34" s="6">
        <v>28800</v>
      </c>
      <c r="L34" s="6">
        <v>1600</v>
      </c>
      <c r="M34" s="3" t="s">
        <v>34</v>
      </c>
      <c r="N34" s="3" t="s">
        <v>41</v>
      </c>
      <c r="O34" s="3" t="s">
        <v>49</v>
      </c>
      <c r="P34">
        <f t="shared" si="2"/>
        <v>5.2631578947368418E-2</v>
      </c>
      <c r="Q34" t="str">
        <f t="shared" si="0"/>
        <v>Good Profit</v>
      </c>
      <c r="R34" t="str">
        <f t="shared" si="1"/>
        <v>High Value</v>
      </c>
    </row>
    <row r="35" spans="1:18" x14ac:dyDescent="0.25">
      <c r="A35" t="s">
        <v>99</v>
      </c>
      <c r="B35" s="8">
        <v>46018</v>
      </c>
      <c r="C35" t="s">
        <v>31</v>
      </c>
      <c r="D35" t="s">
        <v>100</v>
      </c>
      <c r="E35" t="s">
        <v>52</v>
      </c>
      <c r="F35" t="s">
        <v>64</v>
      </c>
      <c r="G35">
        <v>8</v>
      </c>
      <c r="H35" s="1">
        <v>120</v>
      </c>
      <c r="I35" s="9">
        <v>0.2</v>
      </c>
      <c r="J35" s="1">
        <v>768</v>
      </c>
      <c r="K35" s="1">
        <v>440</v>
      </c>
      <c r="L35" s="1">
        <v>328</v>
      </c>
      <c r="M35" t="s">
        <v>54</v>
      </c>
      <c r="N35" t="s">
        <v>29</v>
      </c>
      <c r="O35" t="s">
        <v>22</v>
      </c>
      <c r="P35">
        <f t="shared" si="2"/>
        <v>0.42708333333333331</v>
      </c>
      <c r="Q35" t="str">
        <f t="shared" si="0"/>
        <v>Low Profit</v>
      </c>
      <c r="R35" t="str">
        <f t="shared" si="1"/>
        <v>Normal</v>
      </c>
    </row>
    <row r="36" spans="1:18" x14ac:dyDescent="0.25">
      <c r="A36" s="3" t="s">
        <v>101</v>
      </c>
      <c r="B36" s="5">
        <v>45941</v>
      </c>
      <c r="C36" s="3" t="s">
        <v>38</v>
      </c>
      <c r="D36" s="3" t="s">
        <v>43</v>
      </c>
      <c r="E36" s="3" t="s">
        <v>26</v>
      </c>
      <c r="F36" s="3" t="s">
        <v>40</v>
      </c>
      <c r="G36" s="3">
        <v>2</v>
      </c>
      <c r="H36" s="6">
        <v>1800</v>
      </c>
      <c r="I36" s="7">
        <v>0</v>
      </c>
      <c r="J36" s="6">
        <v>3600</v>
      </c>
      <c r="K36" s="6">
        <v>2300</v>
      </c>
      <c r="L36" s="6">
        <v>1300</v>
      </c>
      <c r="M36" s="3" t="s">
        <v>34</v>
      </c>
      <c r="N36" s="3" t="s">
        <v>45</v>
      </c>
      <c r="O36" s="3" t="s">
        <v>36</v>
      </c>
      <c r="P36">
        <f t="shared" si="2"/>
        <v>0.3611111111111111</v>
      </c>
      <c r="Q36" t="str">
        <f t="shared" si="0"/>
        <v>Good Profit</v>
      </c>
      <c r="R36" t="str">
        <f t="shared" si="1"/>
        <v>Normal</v>
      </c>
    </row>
    <row r="37" spans="1:18" x14ac:dyDescent="0.25">
      <c r="A37" t="s">
        <v>102</v>
      </c>
      <c r="B37" s="8">
        <v>45916</v>
      </c>
      <c r="C37" t="s">
        <v>31</v>
      </c>
      <c r="D37" t="s">
        <v>100</v>
      </c>
      <c r="E37" t="s">
        <v>26</v>
      </c>
      <c r="F37" t="s">
        <v>80</v>
      </c>
      <c r="G37">
        <v>11</v>
      </c>
      <c r="H37" s="1">
        <v>1200</v>
      </c>
      <c r="I37" s="9">
        <v>0.1</v>
      </c>
      <c r="J37" s="1">
        <v>11880</v>
      </c>
      <c r="K37" s="1">
        <v>7700</v>
      </c>
      <c r="L37" s="1">
        <v>4180</v>
      </c>
      <c r="M37" t="s">
        <v>61</v>
      </c>
      <c r="N37" t="s">
        <v>45</v>
      </c>
      <c r="O37" t="s">
        <v>49</v>
      </c>
      <c r="P37">
        <f t="shared" si="2"/>
        <v>0.35185185185185186</v>
      </c>
      <c r="Q37" t="str">
        <f t="shared" si="0"/>
        <v>Good Profit</v>
      </c>
      <c r="R37" t="str">
        <f t="shared" si="1"/>
        <v>High Value</v>
      </c>
    </row>
    <row r="38" spans="1:18" x14ac:dyDescent="0.25">
      <c r="A38" s="3" t="s">
        <v>103</v>
      </c>
      <c r="B38" s="5">
        <v>45724</v>
      </c>
      <c r="C38" s="3" t="s">
        <v>16</v>
      </c>
      <c r="D38" s="3" t="s">
        <v>104</v>
      </c>
      <c r="E38" s="3" t="s">
        <v>52</v>
      </c>
      <c r="F38" s="3" t="s">
        <v>88</v>
      </c>
      <c r="G38" s="3">
        <v>1</v>
      </c>
      <c r="H38" s="6">
        <v>250</v>
      </c>
      <c r="I38" s="7">
        <v>0.1</v>
      </c>
      <c r="J38" s="6">
        <v>225</v>
      </c>
      <c r="K38" s="6">
        <v>130</v>
      </c>
      <c r="L38" s="6">
        <v>95</v>
      </c>
      <c r="M38" s="3" t="s">
        <v>54</v>
      </c>
      <c r="N38" s="3" t="s">
        <v>92</v>
      </c>
      <c r="O38" s="3" t="s">
        <v>22</v>
      </c>
      <c r="P38">
        <f t="shared" si="2"/>
        <v>0.42222222222222222</v>
      </c>
      <c r="Q38" t="str">
        <f t="shared" si="0"/>
        <v>Low Profit</v>
      </c>
      <c r="R38" t="str">
        <f t="shared" si="1"/>
        <v>Normal</v>
      </c>
    </row>
    <row r="39" spans="1:18" x14ac:dyDescent="0.25">
      <c r="A39" t="s">
        <v>105</v>
      </c>
      <c r="B39" s="8">
        <v>46011</v>
      </c>
      <c r="C39" t="s">
        <v>24</v>
      </c>
      <c r="D39" t="s">
        <v>83</v>
      </c>
      <c r="E39" t="s">
        <v>18</v>
      </c>
      <c r="F39" t="s">
        <v>47</v>
      </c>
      <c r="G39">
        <v>2</v>
      </c>
      <c r="H39" s="1">
        <v>6200</v>
      </c>
      <c r="I39" s="9">
        <v>0</v>
      </c>
      <c r="J39" s="1">
        <v>12400</v>
      </c>
      <c r="K39" s="1">
        <v>8600</v>
      </c>
      <c r="L39" s="1">
        <v>3800</v>
      </c>
      <c r="M39" t="s">
        <v>34</v>
      </c>
      <c r="N39" t="s">
        <v>29</v>
      </c>
      <c r="O39" t="s">
        <v>36</v>
      </c>
      <c r="P39">
        <f t="shared" si="2"/>
        <v>0.30645161290322581</v>
      </c>
      <c r="Q39" t="str">
        <f t="shared" si="0"/>
        <v>Good Profit</v>
      </c>
      <c r="R39" t="str">
        <f t="shared" si="1"/>
        <v>High Value</v>
      </c>
    </row>
    <row r="40" spans="1:18" x14ac:dyDescent="0.25">
      <c r="A40" s="3" t="s">
        <v>106</v>
      </c>
      <c r="B40" s="5">
        <v>45678</v>
      </c>
      <c r="C40" s="3" t="s">
        <v>31</v>
      </c>
      <c r="D40" s="3" t="s">
        <v>32</v>
      </c>
      <c r="E40" s="3" t="s">
        <v>26</v>
      </c>
      <c r="F40" s="3" t="s">
        <v>27</v>
      </c>
      <c r="G40" s="3">
        <v>5</v>
      </c>
      <c r="H40" s="6">
        <v>650</v>
      </c>
      <c r="I40" s="7">
        <v>0.1</v>
      </c>
      <c r="J40" s="6">
        <v>2925</v>
      </c>
      <c r="K40" s="6">
        <v>1900</v>
      </c>
      <c r="L40" s="6">
        <v>1025</v>
      </c>
      <c r="M40" s="3" t="s">
        <v>54</v>
      </c>
      <c r="N40" s="3" t="s">
        <v>48</v>
      </c>
      <c r="O40" s="3" t="s">
        <v>22</v>
      </c>
      <c r="P40">
        <f t="shared" si="2"/>
        <v>0.3504273504273504</v>
      </c>
      <c r="Q40" t="str">
        <f t="shared" si="0"/>
        <v>Good Profit</v>
      </c>
      <c r="R40" t="str">
        <f t="shared" si="1"/>
        <v>Normal</v>
      </c>
    </row>
    <row r="41" spans="1:18" x14ac:dyDescent="0.25">
      <c r="A41" t="s">
        <v>107</v>
      </c>
      <c r="B41" s="8">
        <v>45737</v>
      </c>
      <c r="C41" t="s">
        <v>31</v>
      </c>
      <c r="D41" t="s">
        <v>79</v>
      </c>
      <c r="E41" t="s">
        <v>52</v>
      </c>
      <c r="F41" t="s">
        <v>108</v>
      </c>
      <c r="G41">
        <v>7</v>
      </c>
      <c r="H41" s="1">
        <v>180</v>
      </c>
      <c r="I41" s="9">
        <v>0.2</v>
      </c>
      <c r="J41" s="1">
        <v>1008</v>
      </c>
      <c r="K41" s="1">
        <v>630</v>
      </c>
      <c r="L41" s="1">
        <v>378</v>
      </c>
      <c r="M41" t="s">
        <v>34</v>
      </c>
      <c r="N41" t="s">
        <v>92</v>
      </c>
      <c r="O41" t="s">
        <v>49</v>
      </c>
      <c r="P41">
        <f t="shared" si="2"/>
        <v>0.375</v>
      </c>
      <c r="Q41" t="str">
        <f t="shared" si="0"/>
        <v>Low Profit</v>
      </c>
      <c r="R41" t="str">
        <f t="shared" si="1"/>
        <v>Normal</v>
      </c>
    </row>
    <row r="42" spans="1:18" x14ac:dyDescent="0.25">
      <c r="A42" s="3" t="s">
        <v>109</v>
      </c>
      <c r="B42" s="5">
        <v>46000</v>
      </c>
      <c r="C42" s="3" t="s">
        <v>24</v>
      </c>
      <c r="D42" s="3" t="s">
        <v>25</v>
      </c>
      <c r="E42" s="3" t="s">
        <v>26</v>
      </c>
      <c r="F42" s="3" t="s">
        <v>80</v>
      </c>
      <c r="G42" s="3">
        <v>6</v>
      </c>
      <c r="H42" s="6">
        <v>1200</v>
      </c>
      <c r="I42" s="7">
        <v>0.15</v>
      </c>
      <c r="J42" s="6">
        <v>6120</v>
      </c>
      <c r="K42" s="6">
        <v>4200</v>
      </c>
      <c r="L42" s="6">
        <v>1920</v>
      </c>
      <c r="M42" s="3" t="s">
        <v>34</v>
      </c>
      <c r="N42" s="3" t="s">
        <v>45</v>
      </c>
      <c r="O42" s="3" t="s">
        <v>49</v>
      </c>
      <c r="P42">
        <f t="shared" si="2"/>
        <v>0.31372549019607843</v>
      </c>
      <c r="Q42" t="str">
        <f t="shared" si="0"/>
        <v>Good Profit</v>
      </c>
      <c r="R42" t="str">
        <f t="shared" si="1"/>
        <v>High Value</v>
      </c>
    </row>
    <row r="43" spans="1:18" x14ac:dyDescent="0.25">
      <c r="A43" t="s">
        <v>110</v>
      </c>
      <c r="B43" s="8">
        <v>45893</v>
      </c>
      <c r="C43" t="s">
        <v>16</v>
      </c>
      <c r="D43" t="s">
        <v>104</v>
      </c>
      <c r="E43" t="s">
        <v>26</v>
      </c>
      <c r="F43" t="s">
        <v>33</v>
      </c>
      <c r="G43">
        <v>4</v>
      </c>
      <c r="H43" s="1">
        <v>550</v>
      </c>
      <c r="I43" s="9">
        <v>0.05</v>
      </c>
      <c r="J43" s="1">
        <v>2090</v>
      </c>
      <c r="K43" s="1">
        <v>1200</v>
      </c>
      <c r="L43" s="1">
        <v>890</v>
      </c>
      <c r="M43" t="s">
        <v>54</v>
      </c>
      <c r="N43" t="s">
        <v>45</v>
      </c>
      <c r="O43" t="s">
        <v>49</v>
      </c>
      <c r="P43">
        <f t="shared" si="2"/>
        <v>0.42583732057416268</v>
      </c>
      <c r="Q43" t="str">
        <f t="shared" si="0"/>
        <v>Good Profit</v>
      </c>
      <c r="R43" t="str">
        <f t="shared" si="1"/>
        <v>Normal</v>
      </c>
    </row>
    <row r="44" spans="1:18" x14ac:dyDescent="0.25">
      <c r="A44" s="3" t="s">
        <v>111</v>
      </c>
      <c r="B44" s="5">
        <v>45800</v>
      </c>
      <c r="C44" s="3" t="s">
        <v>31</v>
      </c>
      <c r="D44" s="3" t="s">
        <v>79</v>
      </c>
      <c r="E44" s="3" t="s">
        <v>18</v>
      </c>
      <c r="F44" s="3" t="s">
        <v>75</v>
      </c>
      <c r="G44" s="3">
        <v>7</v>
      </c>
      <c r="H44" s="6">
        <v>7800</v>
      </c>
      <c r="I44" s="7">
        <v>0.1</v>
      </c>
      <c r="J44" s="6">
        <v>49140</v>
      </c>
      <c r="K44" s="6">
        <v>38500</v>
      </c>
      <c r="L44" s="6">
        <v>10640</v>
      </c>
      <c r="M44" s="3" t="s">
        <v>20</v>
      </c>
      <c r="N44" s="3" t="s">
        <v>45</v>
      </c>
      <c r="O44" s="3" t="s">
        <v>36</v>
      </c>
      <c r="P44">
        <f t="shared" si="2"/>
        <v>0.21652421652421652</v>
      </c>
      <c r="Q44" t="str">
        <f t="shared" si="0"/>
        <v>Good Profit</v>
      </c>
      <c r="R44" t="str">
        <f t="shared" si="1"/>
        <v>High Value</v>
      </c>
    </row>
    <row r="45" spans="1:18" x14ac:dyDescent="0.25">
      <c r="A45" t="s">
        <v>112</v>
      </c>
      <c r="B45" s="8">
        <v>45955</v>
      </c>
      <c r="C45" t="s">
        <v>24</v>
      </c>
      <c r="D45" t="s">
        <v>51</v>
      </c>
      <c r="E45" t="s">
        <v>26</v>
      </c>
      <c r="F45" t="s">
        <v>27</v>
      </c>
      <c r="G45">
        <v>5</v>
      </c>
      <c r="H45" s="1">
        <v>650</v>
      </c>
      <c r="I45" s="9">
        <v>0.05</v>
      </c>
      <c r="J45" s="1">
        <v>3087.5</v>
      </c>
      <c r="K45" s="1">
        <v>1900</v>
      </c>
      <c r="L45" s="1">
        <v>1187.5</v>
      </c>
      <c r="M45" t="s">
        <v>54</v>
      </c>
      <c r="N45" t="s">
        <v>29</v>
      </c>
      <c r="O45" t="s">
        <v>49</v>
      </c>
      <c r="P45">
        <f t="shared" si="2"/>
        <v>0.38461538461538464</v>
      </c>
      <c r="Q45" t="str">
        <f t="shared" si="0"/>
        <v>Good Profit</v>
      </c>
      <c r="R45" t="str">
        <f t="shared" si="1"/>
        <v>Normal</v>
      </c>
    </row>
    <row r="46" spans="1:18" x14ac:dyDescent="0.25">
      <c r="A46" s="3" t="s">
        <v>113</v>
      </c>
      <c r="B46" s="5">
        <v>45919</v>
      </c>
      <c r="C46" s="3" t="s">
        <v>24</v>
      </c>
      <c r="D46" s="3" t="s">
        <v>51</v>
      </c>
      <c r="E46" s="3" t="s">
        <v>18</v>
      </c>
      <c r="F46" s="3" t="s">
        <v>19</v>
      </c>
      <c r="G46" s="3">
        <v>7</v>
      </c>
      <c r="H46" s="6">
        <v>5400</v>
      </c>
      <c r="I46" s="7">
        <v>0.2</v>
      </c>
      <c r="J46" s="6">
        <v>30240</v>
      </c>
      <c r="K46" s="6">
        <v>25200</v>
      </c>
      <c r="L46" s="6">
        <v>5040</v>
      </c>
      <c r="M46" s="3" t="s">
        <v>20</v>
      </c>
      <c r="N46" s="3" t="s">
        <v>35</v>
      </c>
      <c r="O46" s="3" t="s">
        <v>22</v>
      </c>
      <c r="P46">
        <f t="shared" si="2"/>
        <v>0.16666666666666666</v>
      </c>
      <c r="Q46" t="str">
        <f t="shared" si="0"/>
        <v>Good Profit</v>
      </c>
      <c r="R46" t="str">
        <f t="shared" si="1"/>
        <v>High Value</v>
      </c>
    </row>
    <row r="47" spans="1:18" x14ac:dyDescent="0.25">
      <c r="A47" t="s">
        <v>114</v>
      </c>
      <c r="B47" s="8">
        <v>45924</v>
      </c>
      <c r="C47" t="s">
        <v>31</v>
      </c>
      <c r="D47" t="s">
        <v>100</v>
      </c>
      <c r="E47" t="s">
        <v>26</v>
      </c>
      <c r="F47" t="s">
        <v>80</v>
      </c>
      <c r="G47">
        <v>7</v>
      </c>
      <c r="H47" s="1">
        <v>1200</v>
      </c>
      <c r="I47" s="9">
        <v>0</v>
      </c>
      <c r="J47" s="1">
        <v>8400</v>
      </c>
      <c r="K47" s="1">
        <v>4900</v>
      </c>
      <c r="L47" s="1">
        <v>3500</v>
      </c>
      <c r="M47" t="s">
        <v>28</v>
      </c>
      <c r="N47" t="s">
        <v>48</v>
      </c>
      <c r="O47" t="s">
        <v>36</v>
      </c>
      <c r="P47">
        <f t="shared" si="2"/>
        <v>0.41666666666666669</v>
      </c>
      <c r="Q47" t="str">
        <f t="shared" si="0"/>
        <v>Good Profit</v>
      </c>
      <c r="R47" t="str">
        <f t="shared" si="1"/>
        <v>High Value</v>
      </c>
    </row>
    <row r="48" spans="1:18" x14ac:dyDescent="0.25">
      <c r="A48" s="3" t="s">
        <v>115</v>
      </c>
      <c r="B48" s="5">
        <v>45997</v>
      </c>
      <c r="C48" s="3" t="s">
        <v>24</v>
      </c>
      <c r="D48" s="3" t="s">
        <v>25</v>
      </c>
      <c r="E48" s="3" t="s">
        <v>18</v>
      </c>
      <c r="F48" s="3" t="s">
        <v>19</v>
      </c>
      <c r="G48" s="3">
        <v>10</v>
      </c>
      <c r="H48" s="6">
        <v>5400</v>
      </c>
      <c r="I48" s="7">
        <v>0.1</v>
      </c>
      <c r="J48" s="6">
        <v>48600</v>
      </c>
      <c r="K48" s="6">
        <v>36000</v>
      </c>
      <c r="L48" s="6">
        <v>12600</v>
      </c>
      <c r="M48" s="3" t="s">
        <v>20</v>
      </c>
      <c r="N48" s="3" t="s">
        <v>45</v>
      </c>
      <c r="O48" s="3" t="s">
        <v>22</v>
      </c>
      <c r="P48">
        <f t="shared" si="2"/>
        <v>0.25925925925925924</v>
      </c>
      <c r="Q48" t="str">
        <f t="shared" si="0"/>
        <v>Good Profit</v>
      </c>
      <c r="R48" t="str">
        <f t="shared" si="1"/>
        <v>High Value</v>
      </c>
    </row>
    <row r="49" spans="1:18" x14ac:dyDescent="0.25">
      <c r="A49" t="s">
        <v>116</v>
      </c>
      <c r="B49" s="8">
        <v>45941</v>
      </c>
      <c r="C49" t="s">
        <v>38</v>
      </c>
      <c r="D49" t="s">
        <v>90</v>
      </c>
      <c r="E49" t="s">
        <v>52</v>
      </c>
      <c r="F49" t="s">
        <v>97</v>
      </c>
      <c r="G49">
        <v>12</v>
      </c>
      <c r="H49" s="1">
        <v>380</v>
      </c>
      <c r="I49" s="9">
        <v>0.1</v>
      </c>
      <c r="J49" s="1">
        <v>4104</v>
      </c>
      <c r="K49" s="1">
        <v>3000</v>
      </c>
      <c r="L49" s="1">
        <v>1104</v>
      </c>
      <c r="M49" t="s">
        <v>34</v>
      </c>
      <c r="N49" t="s">
        <v>48</v>
      </c>
      <c r="O49" t="s">
        <v>36</v>
      </c>
      <c r="P49">
        <f t="shared" si="2"/>
        <v>0.26900584795321636</v>
      </c>
      <c r="Q49" t="str">
        <f t="shared" si="0"/>
        <v>Good Profit</v>
      </c>
      <c r="R49" t="str">
        <f t="shared" si="1"/>
        <v>Normal</v>
      </c>
    </row>
    <row r="50" spans="1:18" x14ac:dyDescent="0.25">
      <c r="A50" s="3" t="s">
        <v>117</v>
      </c>
      <c r="B50" s="5">
        <v>45938</v>
      </c>
      <c r="C50" s="3" t="s">
        <v>24</v>
      </c>
      <c r="D50" s="3" t="s">
        <v>63</v>
      </c>
      <c r="E50" s="3" t="s">
        <v>18</v>
      </c>
      <c r="F50" s="3" t="s">
        <v>69</v>
      </c>
      <c r="G50" s="3">
        <v>5</v>
      </c>
      <c r="H50" s="6">
        <v>1600</v>
      </c>
      <c r="I50" s="7">
        <v>0.15</v>
      </c>
      <c r="J50" s="6">
        <v>6800</v>
      </c>
      <c r="K50" s="6">
        <v>4750</v>
      </c>
      <c r="L50" s="6">
        <v>2050</v>
      </c>
      <c r="M50" s="3" t="s">
        <v>20</v>
      </c>
      <c r="N50" s="3" t="s">
        <v>45</v>
      </c>
      <c r="O50" s="3" t="s">
        <v>36</v>
      </c>
      <c r="P50">
        <f t="shared" si="2"/>
        <v>0.3014705882352941</v>
      </c>
      <c r="Q50" t="str">
        <f t="shared" si="0"/>
        <v>Good Profit</v>
      </c>
      <c r="R50" t="str">
        <f t="shared" si="1"/>
        <v>High Value</v>
      </c>
    </row>
    <row r="51" spans="1:18" x14ac:dyDescent="0.25">
      <c r="A51" t="s">
        <v>118</v>
      </c>
      <c r="B51" s="8">
        <v>45896</v>
      </c>
      <c r="C51" t="s">
        <v>31</v>
      </c>
      <c r="D51" t="s">
        <v>32</v>
      </c>
      <c r="E51" t="s">
        <v>18</v>
      </c>
      <c r="F51" t="s">
        <v>69</v>
      </c>
      <c r="G51">
        <v>11</v>
      </c>
      <c r="H51" s="1">
        <v>1600</v>
      </c>
      <c r="I51" s="9">
        <v>0.1</v>
      </c>
      <c r="J51" s="1">
        <v>15840</v>
      </c>
      <c r="K51" s="1">
        <v>10450</v>
      </c>
      <c r="L51" s="1">
        <v>5390</v>
      </c>
      <c r="M51" t="s">
        <v>61</v>
      </c>
      <c r="N51" t="s">
        <v>57</v>
      </c>
      <c r="O51" t="s">
        <v>22</v>
      </c>
      <c r="P51">
        <f t="shared" si="2"/>
        <v>0.34027777777777779</v>
      </c>
      <c r="Q51" t="str">
        <f t="shared" si="0"/>
        <v>Good Profit</v>
      </c>
      <c r="R51" t="str">
        <f t="shared" si="1"/>
        <v>High Value</v>
      </c>
    </row>
    <row r="52" spans="1:18" x14ac:dyDescent="0.25">
      <c r="A52" s="3" t="s">
        <v>119</v>
      </c>
      <c r="B52" s="5">
        <v>45803</v>
      </c>
      <c r="C52" s="3" t="s">
        <v>31</v>
      </c>
      <c r="D52" s="3" t="s">
        <v>32</v>
      </c>
      <c r="E52" s="3" t="s">
        <v>18</v>
      </c>
      <c r="F52" s="3" t="s">
        <v>75</v>
      </c>
      <c r="G52" s="3">
        <v>11</v>
      </c>
      <c r="H52" s="6">
        <v>7800</v>
      </c>
      <c r="I52" s="7">
        <v>0</v>
      </c>
      <c r="J52" s="6">
        <v>85800</v>
      </c>
      <c r="K52" s="6">
        <v>60500</v>
      </c>
      <c r="L52" s="6">
        <v>25300</v>
      </c>
      <c r="M52" s="3" t="s">
        <v>28</v>
      </c>
      <c r="N52" s="3" t="s">
        <v>41</v>
      </c>
      <c r="O52" s="3" t="s">
        <v>49</v>
      </c>
      <c r="P52">
        <f t="shared" si="2"/>
        <v>0.29487179487179488</v>
      </c>
      <c r="Q52" t="str">
        <f t="shared" si="0"/>
        <v>Good Profit</v>
      </c>
      <c r="R52" t="str">
        <f t="shared" si="1"/>
        <v>High Value</v>
      </c>
    </row>
    <row r="53" spans="1:18" x14ac:dyDescent="0.25">
      <c r="A53" t="s">
        <v>120</v>
      </c>
      <c r="B53" s="8">
        <v>45681</v>
      </c>
      <c r="C53" t="s">
        <v>31</v>
      </c>
      <c r="D53" t="s">
        <v>100</v>
      </c>
      <c r="E53" t="s">
        <v>26</v>
      </c>
      <c r="F53" t="s">
        <v>66</v>
      </c>
      <c r="G53">
        <v>3</v>
      </c>
      <c r="H53" s="1">
        <v>950</v>
      </c>
      <c r="I53" s="9">
        <v>0</v>
      </c>
      <c r="J53" s="1">
        <v>2850</v>
      </c>
      <c r="K53" s="1">
        <v>1710</v>
      </c>
      <c r="L53" s="1">
        <v>1140</v>
      </c>
      <c r="M53" t="s">
        <v>34</v>
      </c>
      <c r="N53" t="s">
        <v>57</v>
      </c>
      <c r="O53" t="s">
        <v>22</v>
      </c>
      <c r="P53">
        <f t="shared" si="2"/>
        <v>0.4</v>
      </c>
      <c r="Q53" t="str">
        <f t="shared" si="0"/>
        <v>Good Profit</v>
      </c>
      <c r="R53" t="str">
        <f t="shared" si="1"/>
        <v>Normal</v>
      </c>
    </row>
    <row r="54" spans="1:18" x14ac:dyDescent="0.25">
      <c r="A54" s="3" t="s">
        <v>121</v>
      </c>
      <c r="B54" s="5">
        <v>46014</v>
      </c>
      <c r="C54" s="3" t="s">
        <v>16</v>
      </c>
      <c r="D54" s="3" t="s">
        <v>104</v>
      </c>
      <c r="E54" s="3" t="s">
        <v>52</v>
      </c>
      <c r="F54" s="3" t="s">
        <v>53</v>
      </c>
      <c r="G54" s="3">
        <v>10</v>
      </c>
      <c r="H54" s="6">
        <v>90</v>
      </c>
      <c r="I54" s="7">
        <v>0.05</v>
      </c>
      <c r="J54" s="6">
        <v>855</v>
      </c>
      <c r="K54" s="6">
        <v>400</v>
      </c>
      <c r="L54" s="6">
        <v>455</v>
      </c>
      <c r="M54" s="3" t="s">
        <v>61</v>
      </c>
      <c r="N54" s="3" t="s">
        <v>57</v>
      </c>
      <c r="O54" s="3" t="s">
        <v>36</v>
      </c>
      <c r="P54">
        <f t="shared" si="2"/>
        <v>0.53216374269005851</v>
      </c>
      <c r="Q54" t="str">
        <f t="shared" si="0"/>
        <v>Low Profit</v>
      </c>
      <c r="R54" t="str">
        <f t="shared" si="1"/>
        <v>Normal</v>
      </c>
    </row>
    <row r="55" spans="1:18" x14ac:dyDescent="0.25">
      <c r="A55" t="s">
        <v>122</v>
      </c>
      <c r="B55" s="8">
        <v>45875</v>
      </c>
      <c r="C55" t="s">
        <v>31</v>
      </c>
      <c r="D55" t="s">
        <v>123</v>
      </c>
      <c r="E55" t="s">
        <v>18</v>
      </c>
      <c r="F55" t="s">
        <v>56</v>
      </c>
      <c r="G55">
        <v>1</v>
      </c>
      <c r="H55" s="1">
        <v>8900</v>
      </c>
      <c r="I55" s="9">
        <v>0</v>
      </c>
      <c r="J55" s="1">
        <v>8900</v>
      </c>
      <c r="K55" s="1">
        <v>6400</v>
      </c>
      <c r="L55" s="1">
        <v>2500</v>
      </c>
      <c r="M55" t="s">
        <v>34</v>
      </c>
      <c r="N55" t="s">
        <v>92</v>
      </c>
      <c r="O55" t="s">
        <v>22</v>
      </c>
      <c r="P55">
        <f t="shared" si="2"/>
        <v>0.2808988764044944</v>
      </c>
      <c r="Q55" t="str">
        <f t="shared" si="0"/>
        <v>Good Profit</v>
      </c>
      <c r="R55" t="str">
        <f t="shared" si="1"/>
        <v>High Value</v>
      </c>
    </row>
    <row r="56" spans="1:18" x14ac:dyDescent="0.25">
      <c r="A56" s="3" t="s">
        <v>124</v>
      </c>
      <c r="B56" s="5">
        <v>45726</v>
      </c>
      <c r="C56" s="3" t="s">
        <v>24</v>
      </c>
      <c r="D56" s="3" t="s">
        <v>25</v>
      </c>
      <c r="E56" s="3" t="s">
        <v>18</v>
      </c>
      <c r="F56" s="3" t="s">
        <v>75</v>
      </c>
      <c r="G56" s="3">
        <v>2</v>
      </c>
      <c r="H56" s="6">
        <v>7800</v>
      </c>
      <c r="I56" s="7">
        <v>0.15</v>
      </c>
      <c r="J56" s="6">
        <v>13260</v>
      </c>
      <c r="K56" s="6">
        <v>11000</v>
      </c>
      <c r="L56" s="6">
        <v>2260</v>
      </c>
      <c r="M56" s="3" t="s">
        <v>61</v>
      </c>
      <c r="N56" s="3" t="s">
        <v>41</v>
      </c>
      <c r="O56" s="3" t="s">
        <v>36</v>
      </c>
      <c r="P56">
        <f t="shared" si="2"/>
        <v>0.17043740573152338</v>
      </c>
      <c r="Q56" t="str">
        <f t="shared" si="0"/>
        <v>Good Profit</v>
      </c>
      <c r="R56" t="str">
        <f t="shared" si="1"/>
        <v>High Value</v>
      </c>
    </row>
    <row r="57" spans="1:18" x14ac:dyDescent="0.25">
      <c r="A57" t="s">
        <v>125</v>
      </c>
      <c r="B57" s="8">
        <v>45790</v>
      </c>
      <c r="C57" t="s">
        <v>24</v>
      </c>
      <c r="D57" t="s">
        <v>83</v>
      </c>
      <c r="E57" t="s">
        <v>26</v>
      </c>
      <c r="F57" t="s">
        <v>80</v>
      </c>
      <c r="G57">
        <v>8</v>
      </c>
      <c r="H57" s="1">
        <v>1200</v>
      </c>
      <c r="I57" s="9">
        <v>0.15</v>
      </c>
      <c r="J57" s="1">
        <v>8160</v>
      </c>
      <c r="K57" s="1">
        <v>5600</v>
      </c>
      <c r="L57" s="1">
        <v>2560</v>
      </c>
      <c r="M57" t="s">
        <v>34</v>
      </c>
      <c r="N57" t="s">
        <v>45</v>
      </c>
      <c r="O57" t="s">
        <v>22</v>
      </c>
      <c r="P57">
        <f t="shared" si="2"/>
        <v>0.31372549019607843</v>
      </c>
      <c r="Q57" t="str">
        <f t="shared" si="0"/>
        <v>Good Profit</v>
      </c>
      <c r="R57" t="str">
        <f t="shared" si="1"/>
        <v>High Value</v>
      </c>
    </row>
    <row r="58" spans="1:18" x14ac:dyDescent="0.25">
      <c r="A58" s="3" t="s">
        <v>126</v>
      </c>
      <c r="B58" s="5">
        <v>45778</v>
      </c>
      <c r="C58" s="3" t="s">
        <v>24</v>
      </c>
      <c r="D58" s="3" t="s">
        <v>63</v>
      </c>
      <c r="E58" s="3" t="s">
        <v>52</v>
      </c>
      <c r="F58" s="3" t="s">
        <v>97</v>
      </c>
      <c r="G58" s="3">
        <v>2</v>
      </c>
      <c r="H58" s="6">
        <v>380</v>
      </c>
      <c r="I58" s="7">
        <v>0.1</v>
      </c>
      <c r="J58" s="6">
        <v>684</v>
      </c>
      <c r="K58" s="6">
        <v>500</v>
      </c>
      <c r="L58" s="6">
        <v>184</v>
      </c>
      <c r="M58" s="3" t="s">
        <v>54</v>
      </c>
      <c r="N58" s="3" t="s">
        <v>41</v>
      </c>
      <c r="O58" s="3" t="s">
        <v>36</v>
      </c>
      <c r="P58">
        <f t="shared" si="2"/>
        <v>0.26900584795321636</v>
      </c>
      <c r="Q58" t="str">
        <f t="shared" si="0"/>
        <v>Low Profit</v>
      </c>
      <c r="R58" t="str">
        <f t="shared" si="1"/>
        <v>Normal</v>
      </c>
    </row>
    <row r="59" spans="1:18" x14ac:dyDescent="0.25">
      <c r="A59" t="s">
        <v>127</v>
      </c>
      <c r="B59" s="8">
        <v>46019</v>
      </c>
      <c r="C59" t="s">
        <v>16</v>
      </c>
      <c r="D59" t="s">
        <v>60</v>
      </c>
      <c r="E59" t="s">
        <v>26</v>
      </c>
      <c r="F59" t="s">
        <v>66</v>
      </c>
      <c r="G59">
        <v>7</v>
      </c>
      <c r="H59" s="1">
        <v>950</v>
      </c>
      <c r="I59" s="9">
        <v>0.05</v>
      </c>
      <c r="J59" s="1">
        <v>6317.5</v>
      </c>
      <c r="K59" s="1">
        <v>3990</v>
      </c>
      <c r="L59" s="1">
        <v>2327.5</v>
      </c>
      <c r="M59" t="s">
        <v>34</v>
      </c>
      <c r="N59" t="s">
        <v>21</v>
      </c>
      <c r="O59" t="s">
        <v>36</v>
      </c>
      <c r="P59">
        <f t="shared" si="2"/>
        <v>0.36842105263157893</v>
      </c>
      <c r="Q59" t="str">
        <f t="shared" si="0"/>
        <v>Good Profit</v>
      </c>
      <c r="R59" t="str">
        <f t="shared" si="1"/>
        <v>High Value</v>
      </c>
    </row>
    <row r="60" spans="1:18" x14ac:dyDescent="0.25">
      <c r="A60" s="3" t="s">
        <v>128</v>
      </c>
      <c r="B60" s="5">
        <v>45763</v>
      </c>
      <c r="C60" s="3" t="s">
        <v>24</v>
      </c>
      <c r="D60" s="3" t="s">
        <v>51</v>
      </c>
      <c r="E60" s="3" t="s">
        <v>18</v>
      </c>
      <c r="F60" s="3" t="s">
        <v>44</v>
      </c>
      <c r="G60" s="3">
        <v>7</v>
      </c>
      <c r="H60" s="6">
        <v>950</v>
      </c>
      <c r="I60" s="7">
        <v>0</v>
      </c>
      <c r="J60" s="6">
        <v>6650</v>
      </c>
      <c r="K60" s="6">
        <v>3640</v>
      </c>
      <c r="L60" s="6">
        <v>3010</v>
      </c>
      <c r="M60" s="3" t="s">
        <v>61</v>
      </c>
      <c r="N60" s="3" t="s">
        <v>35</v>
      </c>
      <c r="O60" s="3" t="s">
        <v>22</v>
      </c>
      <c r="P60">
        <f t="shared" si="2"/>
        <v>0.45263157894736844</v>
      </c>
      <c r="Q60" t="str">
        <f t="shared" si="0"/>
        <v>Good Profit</v>
      </c>
      <c r="R60" t="str">
        <f t="shared" si="1"/>
        <v>High Value</v>
      </c>
    </row>
    <row r="61" spans="1:18" x14ac:dyDescent="0.25">
      <c r="A61" t="s">
        <v>129</v>
      </c>
      <c r="B61" s="8">
        <v>45857</v>
      </c>
      <c r="C61" t="s">
        <v>16</v>
      </c>
      <c r="D61" t="s">
        <v>104</v>
      </c>
      <c r="E61" t="s">
        <v>52</v>
      </c>
      <c r="F61" t="s">
        <v>88</v>
      </c>
      <c r="G61">
        <v>6</v>
      </c>
      <c r="H61" s="1">
        <v>250</v>
      </c>
      <c r="I61" s="9">
        <v>0.1</v>
      </c>
      <c r="J61" s="1">
        <v>1350</v>
      </c>
      <c r="K61" s="1">
        <v>780</v>
      </c>
      <c r="L61" s="1">
        <v>570</v>
      </c>
      <c r="M61" t="s">
        <v>61</v>
      </c>
      <c r="N61" t="s">
        <v>48</v>
      </c>
      <c r="O61" t="s">
        <v>36</v>
      </c>
      <c r="P61">
        <f t="shared" si="2"/>
        <v>0.42222222222222222</v>
      </c>
      <c r="Q61" t="str">
        <f t="shared" si="0"/>
        <v>Good Profit</v>
      </c>
      <c r="R61" t="str">
        <f t="shared" si="1"/>
        <v>Normal</v>
      </c>
    </row>
    <row r="62" spans="1:18" x14ac:dyDescent="0.25">
      <c r="A62" s="3" t="s">
        <v>130</v>
      </c>
      <c r="B62" s="5">
        <v>45830</v>
      </c>
      <c r="C62" s="3" t="s">
        <v>31</v>
      </c>
      <c r="D62" s="3" t="s">
        <v>100</v>
      </c>
      <c r="E62" s="3" t="s">
        <v>52</v>
      </c>
      <c r="F62" s="3" t="s">
        <v>97</v>
      </c>
      <c r="G62" s="3">
        <v>1</v>
      </c>
      <c r="H62" s="6">
        <v>380</v>
      </c>
      <c r="I62" s="7">
        <v>0.15</v>
      </c>
      <c r="J62" s="6">
        <v>323</v>
      </c>
      <c r="K62" s="6">
        <v>250</v>
      </c>
      <c r="L62" s="6">
        <v>73</v>
      </c>
      <c r="M62" s="3" t="s">
        <v>61</v>
      </c>
      <c r="N62" s="3" t="s">
        <v>92</v>
      </c>
      <c r="O62" s="3" t="s">
        <v>36</v>
      </c>
      <c r="P62">
        <f t="shared" si="2"/>
        <v>0.2260061919504644</v>
      </c>
      <c r="Q62" t="str">
        <f t="shared" si="0"/>
        <v>Low Profit</v>
      </c>
      <c r="R62" t="str">
        <f t="shared" si="1"/>
        <v>Normal</v>
      </c>
    </row>
    <row r="63" spans="1:18" x14ac:dyDescent="0.25">
      <c r="A63" t="s">
        <v>131</v>
      </c>
      <c r="B63" s="8">
        <v>45700</v>
      </c>
      <c r="C63" t="s">
        <v>31</v>
      </c>
      <c r="D63" t="s">
        <v>79</v>
      </c>
      <c r="E63" t="s">
        <v>52</v>
      </c>
      <c r="F63" t="s">
        <v>108</v>
      </c>
      <c r="G63">
        <v>10</v>
      </c>
      <c r="H63" s="1">
        <v>180</v>
      </c>
      <c r="I63" s="9">
        <v>0</v>
      </c>
      <c r="J63" s="1">
        <v>1800</v>
      </c>
      <c r="K63" s="1">
        <v>900</v>
      </c>
      <c r="L63" s="1">
        <v>900</v>
      </c>
      <c r="M63" t="s">
        <v>61</v>
      </c>
      <c r="N63" t="s">
        <v>92</v>
      </c>
      <c r="O63" t="s">
        <v>36</v>
      </c>
      <c r="P63">
        <f t="shared" si="2"/>
        <v>0.5</v>
      </c>
      <c r="Q63" t="str">
        <f t="shared" si="0"/>
        <v>Good Profit</v>
      </c>
      <c r="R63" t="str">
        <f t="shared" si="1"/>
        <v>Normal</v>
      </c>
    </row>
    <row r="64" spans="1:18" x14ac:dyDescent="0.25">
      <c r="A64" s="3" t="s">
        <v>132</v>
      </c>
      <c r="B64" s="5">
        <v>45890</v>
      </c>
      <c r="C64" s="3" t="s">
        <v>31</v>
      </c>
      <c r="D64" s="3" t="s">
        <v>79</v>
      </c>
      <c r="E64" s="3" t="s">
        <v>52</v>
      </c>
      <c r="F64" s="3" t="s">
        <v>97</v>
      </c>
      <c r="G64" s="3">
        <v>6</v>
      </c>
      <c r="H64" s="6">
        <v>380</v>
      </c>
      <c r="I64" s="7">
        <v>0.05</v>
      </c>
      <c r="J64" s="6">
        <v>2166</v>
      </c>
      <c r="K64" s="6">
        <v>1500</v>
      </c>
      <c r="L64" s="6">
        <v>666</v>
      </c>
      <c r="M64" s="3" t="s">
        <v>54</v>
      </c>
      <c r="N64" s="3" t="s">
        <v>41</v>
      </c>
      <c r="O64" s="3" t="s">
        <v>36</v>
      </c>
      <c r="P64">
        <f t="shared" si="2"/>
        <v>0.30747922437673131</v>
      </c>
      <c r="Q64" t="str">
        <f t="shared" si="0"/>
        <v>Good Profit</v>
      </c>
      <c r="R64" t="str">
        <f t="shared" si="1"/>
        <v>Normal</v>
      </c>
    </row>
    <row r="65" spans="1:18" x14ac:dyDescent="0.25">
      <c r="A65" t="s">
        <v>133</v>
      </c>
      <c r="B65" s="8">
        <v>45934</v>
      </c>
      <c r="C65" t="s">
        <v>38</v>
      </c>
      <c r="D65" t="s">
        <v>90</v>
      </c>
      <c r="E65" t="s">
        <v>52</v>
      </c>
      <c r="F65" t="s">
        <v>88</v>
      </c>
      <c r="G65">
        <v>8</v>
      </c>
      <c r="H65" s="1">
        <v>250</v>
      </c>
      <c r="I65" s="9">
        <v>0</v>
      </c>
      <c r="J65" s="1">
        <v>2000</v>
      </c>
      <c r="K65" s="1">
        <v>1040</v>
      </c>
      <c r="L65" s="1">
        <v>960</v>
      </c>
      <c r="M65" t="s">
        <v>20</v>
      </c>
      <c r="N65" t="s">
        <v>41</v>
      </c>
      <c r="O65" t="s">
        <v>49</v>
      </c>
      <c r="P65">
        <f t="shared" si="2"/>
        <v>0.48</v>
      </c>
      <c r="Q65" t="str">
        <f t="shared" si="0"/>
        <v>Good Profit</v>
      </c>
      <c r="R65" t="str">
        <f t="shared" si="1"/>
        <v>Normal</v>
      </c>
    </row>
    <row r="66" spans="1:18" x14ac:dyDescent="0.25">
      <c r="A66" s="3" t="s">
        <v>134</v>
      </c>
      <c r="B66" s="5">
        <v>45976</v>
      </c>
      <c r="C66" s="3" t="s">
        <v>16</v>
      </c>
      <c r="D66" s="3" t="s">
        <v>17</v>
      </c>
      <c r="E66" s="3" t="s">
        <v>26</v>
      </c>
      <c r="F66" s="3" t="s">
        <v>66</v>
      </c>
      <c r="G66" s="3">
        <v>4</v>
      </c>
      <c r="H66" s="6">
        <v>950</v>
      </c>
      <c r="I66" s="7">
        <v>0</v>
      </c>
      <c r="J66" s="6">
        <v>3800</v>
      </c>
      <c r="K66" s="6">
        <v>2280</v>
      </c>
      <c r="L66" s="6">
        <v>1520</v>
      </c>
      <c r="M66" s="3" t="s">
        <v>34</v>
      </c>
      <c r="N66" s="3" t="s">
        <v>48</v>
      </c>
      <c r="O66" s="3" t="s">
        <v>49</v>
      </c>
      <c r="P66">
        <f t="shared" si="2"/>
        <v>0.4</v>
      </c>
      <c r="Q66" t="str">
        <f t="shared" ref="Q66:Q129" si="3">IF(L66&lt;0,"Loss",IF(L66&lt;500,"Low Profit","Good Profit"))</f>
        <v>Good Profit</v>
      </c>
      <c r="R66" t="str">
        <f t="shared" ref="R66:R129" si="4">IF(AND(J66&gt;5000,L66&gt;1000),"High Value","Normal")</f>
        <v>Normal</v>
      </c>
    </row>
    <row r="67" spans="1:18" x14ac:dyDescent="0.25">
      <c r="A67" t="s">
        <v>135</v>
      </c>
      <c r="B67" s="8">
        <v>45846</v>
      </c>
      <c r="C67" t="s">
        <v>24</v>
      </c>
      <c r="D67" t="s">
        <v>25</v>
      </c>
      <c r="E67" t="s">
        <v>18</v>
      </c>
      <c r="F67" t="s">
        <v>75</v>
      </c>
      <c r="G67">
        <v>8</v>
      </c>
      <c r="H67" s="1">
        <v>7800</v>
      </c>
      <c r="I67" s="9">
        <v>0.1</v>
      </c>
      <c r="J67" s="1">
        <v>56160</v>
      </c>
      <c r="K67" s="1">
        <v>44000</v>
      </c>
      <c r="L67" s="1">
        <v>12160</v>
      </c>
      <c r="M67" t="s">
        <v>34</v>
      </c>
      <c r="N67" t="s">
        <v>21</v>
      </c>
      <c r="O67" t="s">
        <v>49</v>
      </c>
      <c r="P67">
        <f t="shared" ref="P67:P130" si="5">IFERROR(L67/J67,0)</f>
        <v>0.21652421652421652</v>
      </c>
      <c r="Q67" t="str">
        <f t="shared" si="3"/>
        <v>Good Profit</v>
      </c>
      <c r="R67" t="str">
        <f t="shared" si="4"/>
        <v>High Value</v>
      </c>
    </row>
    <row r="68" spans="1:18" x14ac:dyDescent="0.25">
      <c r="A68" s="3" t="s">
        <v>136</v>
      </c>
      <c r="B68" s="5">
        <v>46004</v>
      </c>
      <c r="C68" s="3" t="s">
        <v>38</v>
      </c>
      <c r="D68" s="3" t="s">
        <v>43</v>
      </c>
      <c r="E68" s="3" t="s">
        <v>18</v>
      </c>
      <c r="F68" s="3" t="s">
        <v>47</v>
      </c>
      <c r="G68" s="3">
        <v>5</v>
      </c>
      <c r="H68" s="6">
        <v>6200</v>
      </c>
      <c r="I68" s="7">
        <v>0.2</v>
      </c>
      <c r="J68" s="6">
        <v>24800</v>
      </c>
      <c r="K68" s="6">
        <v>21500</v>
      </c>
      <c r="L68" s="6">
        <v>3300</v>
      </c>
      <c r="M68" s="3" t="s">
        <v>61</v>
      </c>
      <c r="N68" s="3" t="s">
        <v>35</v>
      </c>
      <c r="O68" s="3" t="s">
        <v>22</v>
      </c>
      <c r="P68">
        <f t="shared" si="5"/>
        <v>0.13306451612903225</v>
      </c>
      <c r="Q68" t="str">
        <f t="shared" si="3"/>
        <v>Good Profit</v>
      </c>
      <c r="R68" t="str">
        <f t="shared" si="4"/>
        <v>High Value</v>
      </c>
    </row>
    <row r="69" spans="1:18" x14ac:dyDescent="0.25">
      <c r="A69" t="s">
        <v>137</v>
      </c>
      <c r="B69" s="8">
        <v>45710</v>
      </c>
      <c r="C69" t="s">
        <v>31</v>
      </c>
      <c r="D69" t="s">
        <v>79</v>
      </c>
      <c r="E69" t="s">
        <v>18</v>
      </c>
      <c r="F69" t="s">
        <v>56</v>
      </c>
      <c r="G69">
        <v>11</v>
      </c>
      <c r="H69" s="1">
        <v>8900</v>
      </c>
      <c r="I69" s="9">
        <v>0.05</v>
      </c>
      <c r="J69" s="1">
        <v>93005</v>
      </c>
      <c r="K69" s="1">
        <v>70400</v>
      </c>
      <c r="L69" s="1">
        <v>22605</v>
      </c>
      <c r="M69" t="s">
        <v>54</v>
      </c>
      <c r="N69" t="s">
        <v>21</v>
      </c>
      <c r="O69" t="s">
        <v>22</v>
      </c>
      <c r="P69">
        <f t="shared" si="5"/>
        <v>0.24305144884683619</v>
      </c>
      <c r="Q69" t="str">
        <f t="shared" si="3"/>
        <v>Good Profit</v>
      </c>
      <c r="R69" t="str">
        <f t="shared" si="4"/>
        <v>High Value</v>
      </c>
    </row>
    <row r="70" spans="1:18" x14ac:dyDescent="0.25">
      <c r="A70" s="3" t="s">
        <v>138</v>
      </c>
      <c r="B70" s="5">
        <v>45693</v>
      </c>
      <c r="C70" s="3" t="s">
        <v>16</v>
      </c>
      <c r="D70" s="3" t="s">
        <v>139</v>
      </c>
      <c r="E70" s="3" t="s">
        <v>18</v>
      </c>
      <c r="F70" s="3" t="s">
        <v>44</v>
      </c>
      <c r="G70" s="3">
        <v>11</v>
      </c>
      <c r="H70" s="6">
        <v>950</v>
      </c>
      <c r="I70" s="7">
        <v>0.1</v>
      </c>
      <c r="J70" s="6">
        <v>9405</v>
      </c>
      <c r="K70" s="6">
        <v>5720</v>
      </c>
      <c r="L70" s="6">
        <v>3685</v>
      </c>
      <c r="M70" s="3" t="s">
        <v>28</v>
      </c>
      <c r="N70" s="3" t="s">
        <v>41</v>
      </c>
      <c r="O70" s="3" t="s">
        <v>49</v>
      </c>
      <c r="P70">
        <f t="shared" si="5"/>
        <v>0.391812865497076</v>
      </c>
      <c r="Q70" t="str">
        <f t="shared" si="3"/>
        <v>Good Profit</v>
      </c>
      <c r="R70" t="str">
        <f t="shared" si="4"/>
        <v>High Value</v>
      </c>
    </row>
    <row r="71" spans="1:18" x14ac:dyDescent="0.25">
      <c r="A71" t="s">
        <v>140</v>
      </c>
      <c r="B71" s="8">
        <v>46020</v>
      </c>
      <c r="C71" t="s">
        <v>24</v>
      </c>
      <c r="D71" t="s">
        <v>83</v>
      </c>
      <c r="E71" t="s">
        <v>26</v>
      </c>
      <c r="F71" t="s">
        <v>33</v>
      </c>
      <c r="G71">
        <v>6</v>
      </c>
      <c r="H71" s="1">
        <v>550</v>
      </c>
      <c r="I71" s="9">
        <v>0.15</v>
      </c>
      <c r="J71" s="1">
        <v>2805</v>
      </c>
      <c r="K71" s="1">
        <v>1800</v>
      </c>
      <c r="L71" s="1">
        <v>1005</v>
      </c>
      <c r="M71" t="s">
        <v>34</v>
      </c>
      <c r="N71" t="s">
        <v>35</v>
      </c>
      <c r="O71" t="s">
        <v>49</v>
      </c>
      <c r="P71">
        <f t="shared" si="5"/>
        <v>0.35828877005347592</v>
      </c>
      <c r="Q71" t="str">
        <f t="shared" si="3"/>
        <v>Good Profit</v>
      </c>
      <c r="R71" t="str">
        <f t="shared" si="4"/>
        <v>Normal</v>
      </c>
    </row>
    <row r="72" spans="1:18" x14ac:dyDescent="0.25">
      <c r="A72" s="3" t="s">
        <v>141</v>
      </c>
      <c r="B72" s="5">
        <v>45795</v>
      </c>
      <c r="C72" s="3" t="s">
        <v>38</v>
      </c>
      <c r="D72" s="3" t="s">
        <v>90</v>
      </c>
      <c r="E72" s="3" t="s">
        <v>52</v>
      </c>
      <c r="F72" s="3" t="s">
        <v>97</v>
      </c>
      <c r="G72" s="3">
        <v>12</v>
      </c>
      <c r="H72" s="6">
        <v>380</v>
      </c>
      <c r="I72" s="7">
        <v>0.2</v>
      </c>
      <c r="J72" s="6">
        <v>3648</v>
      </c>
      <c r="K72" s="6">
        <v>3000</v>
      </c>
      <c r="L72" s="6">
        <v>648</v>
      </c>
      <c r="M72" s="3" t="s">
        <v>54</v>
      </c>
      <c r="N72" s="3" t="s">
        <v>48</v>
      </c>
      <c r="O72" s="3" t="s">
        <v>49</v>
      </c>
      <c r="P72">
        <f t="shared" si="5"/>
        <v>0.17763157894736842</v>
      </c>
      <c r="Q72" t="str">
        <f t="shared" si="3"/>
        <v>Good Profit</v>
      </c>
      <c r="R72" t="str">
        <f t="shared" si="4"/>
        <v>Normal</v>
      </c>
    </row>
    <row r="73" spans="1:18" x14ac:dyDescent="0.25">
      <c r="A73" t="s">
        <v>142</v>
      </c>
      <c r="B73" s="8">
        <v>46000</v>
      </c>
      <c r="C73" t="s">
        <v>38</v>
      </c>
      <c r="D73" t="s">
        <v>90</v>
      </c>
      <c r="E73" t="s">
        <v>26</v>
      </c>
      <c r="F73" t="s">
        <v>33</v>
      </c>
      <c r="G73">
        <v>10</v>
      </c>
      <c r="H73" s="1">
        <v>550</v>
      </c>
      <c r="I73" s="9">
        <v>0.2</v>
      </c>
      <c r="J73" s="1">
        <v>4400</v>
      </c>
      <c r="K73" s="1">
        <v>3000</v>
      </c>
      <c r="L73" s="1">
        <v>1400</v>
      </c>
      <c r="M73" t="s">
        <v>61</v>
      </c>
      <c r="N73" t="s">
        <v>41</v>
      </c>
      <c r="O73" t="s">
        <v>49</v>
      </c>
      <c r="P73">
        <f t="shared" si="5"/>
        <v>0.31818181818181818</v>
      </c>
      <c r="Q73" t="str">
        <f t="shared" si="3"/>
        <v>Good Profit</v>
      </c>
      <c r="R73" t="str">
        <f t="shared" si="4"/>
        <v>Normal</v>
      </c>
    </row>
    <row r="74" spans="1:18" x14ac:dyDescent="0.25">
      <c r="A74" s="3" t="s">
        <v>143</v>
      </c>
      <c r="B74" s="5">
        <v>45790</v>
      </c>
      <c r="C74" s="3" t="s">
        <v>24</v>
      </c>
      <c r="D74" s="3" t="s">
        <v>51</v>
      </c>
      <c r="E74" s="3" t="s">
        <v>26</v>
      </c>
      <c r="F74" s="3" t="s">
        <v>33</v>
      </c>
      <c r="G74" s="3">
        <v>4</v>
      </c>
      <c r="H74" s="6">
        <v>550</v>
      </c>
      <c r="I74" s="7">
        <v>0.1</v>
      </c>
      <c r="J74" s="6">
        <v>1980</v>
      </c>
      <c r="K74" s="6">
        <v>1200</v>
      </c>
      <c r="L74" s="6">
        <v>780</v>
      </c>
      <c r="M74" s="3" t="s">
        <v>54</v>
      </c>
      <c r="N74" s="3" t="s">
        <v>45</v>
      </c>
      <c r="O74" s="3" t="s">
        <v>22</v>
      </c>
      <c r="P74">
        <f t="shared" si="5"/>
        <v>0.39393939393939392</v>
      </c>
      <c r="Q74" t="str">
        <f t="shared" si="3"/>
        <v>Good Profit</v>
      </c>
      <c r="R74" t="str">
        <f t="shared" si="4"/>
        <v>Normal</v>
      </c>
    </row>
    <row r="75" spans="1:18" x14ac:dyDescent="0.25">
      <c r="A75" t="s">
        <v>144</v>
      </c>
      <c r="B75" s="8">
        <v>45866</v>
      </c>
      <c r="C75" t="s">
        <v>38</v>
      </c>
      <c r="D75" t="s">
        <v>43</v>
      </c>
      <c r="E75" t="s">
        <v>18</v>
      </c>
      <c r="F75" t="s">
        <v>75</v>
      </c>
      <c r="G75">
        <v>2</v>
      </c>
      <c r="H75" s="1">
        <v>7800</v>
      </c>
      <c r="I75" s="9">
        <v>0.05</v>
      </c>
      <c r="J75" s="1">
        <v>14820</v>
      </c>
      <c r="K75" s="1">
        <v>11000</v>
      </c>
      <c r="L75" s="1">
        <v>3820</v>
      </c>
      <c r="M75" t="s">
        <v>61</v>
      </c>
      <c r="N75" t="s">
        <v>48</v>
      </c>
      <c r="O75" t="s">
        <v>22</v>
      </c>
      <c r="P75">
        <f t="shared" si="5"/>
        <v>0.25775978407557354</v>
      </c>
      <c r="Q75" t="str">
        <f t="shared" si="3"/>
        <v>Good Profit</v>
      </c>
      <c r="R75" t="str">
        <f t="shared" si="4"/>
        <v>High Value</v>
      </c>
    </row>
    <row r="76" spans="1:18" x14ac:dyDescent="0.25">
      <c r="A76" s="3" t="s">
        <v>145</v>
      </c>
      <c r="B76" s="5">
        <v>45771</v>
      </c>
      <c r="C76" s="3" t="s">
        <v>24</v>
      </c>
      <c r="D76" s="3" t="s">
        <v>83</v>
      </c>
      <c r="E76" s="3" t="s">
        <v>52</v>
      </c>
      <c r="F76" s="3" t="s">
        <v>88</v>
      </c>
      <c r="G76" s="3">
        <v>2</v>
      </c>
      <c r="H76" s="6">
        <v>250</v>
      </c>
      <c r="I76" s="7">
        <v>0.1</v>
      </c>
      <c r="J76" s="6">
        <v>450</v>
      </c>
      <c r="K76" s="6">
        <v>260</v>
      </c>
      <c r="L76" s="6">
        <v>190</v>
      </c>
      <c r="M76" s="3" t="s">
        <v>61</v>
      </c>
      <c r="N76" s="3" t="s">
        <v>48</v>
      </c>
      <c r="O76" s="3" t="s">
        <v>36</v>
      </c>
      <c r="P76">
        <f t="shared" si="5"/>
        <v>0.42222222222222222</v>
      </c>
      <c r="Q76" t="str">
        <f t="shared" si="3"/>
        <v>Low Profit</v>
      </c>
      <c r="R76" t="str">
        <f t="shared" si="4"/>
        <v>Normal</v>
      </c>
    </row>
    <row r="77" spans="1:18" x14ac:dyDescent="0.25">
      <c r="A77" t="s">
        <v>146</v>
      </c>
      <c r="B77" s="8">
        <v>45939</v>
      </c>
      <c r="C77" t="s">
        <v>38</v>
      </c>
      <c r="D77" t="s">
        <v>90</v>
      </c>
      <c r="E77" t="s">
        <v>18</v>
      </c>
      <c r="F77" t="s">
        <v>69</v>
      </c>
      <c r="G77">
        <v>6</v>
      </c>
      <c r="H77" s="1">
        <v>1600</v>
      </c>
      <c r="I77" s="9">
        <v>0.15</v>
      </c>
      <c r="J77" s="1">
        <v>8160</v>
      </c>
      <c r="K77" s="1">
        <v>5700</v>
      </c>
      <c r="L77" s="1">
        <v>2460</v>
      </c>
      <c r="M77" t="s">
        <v>54</v>
      </c>
      <c r="N77" t="s">
        <v>41</v>
      </c>
      <c r="O77" t="s">
        <v>22</v>
      </c>
      <c r="P77">
        <f t="shared" si="5"/>
        <v>0.3014705882352941</v>
      </c>
      <c r="Q77" t="str">
        <f t="shared" si="3"/>
        <v>Good Profit</v>
      </c>
      <c r="R77" t="str">
        <f t="shared" si="4"/>
        <v>High Value</v>
      </c>
    </row>
    <row r="78" spans="1:18" x14ac:dyDescent="0.25">
      <c r="A78" s="3" t="s">
        <v>147</v>
      </c>
      <c r="B78" s="5">
        <v>45756</v>
      </c>
      <c r="C78" s="3" t="s">
        <v>24</v>
      </c>
      <c r="D78" s="3" t="s">
        <v>51</v>
      </c>
      <c r="E78" s="3" t="s">
        <v>52</v>
      </c>
      <c r="F78" s="3" t="s">
        <v>73</v>
      </c>
      <c r="G78" s="3">
        <v>4</v>
      </c>
      <c r="H78" s="6">
        <v>450</v>
      </c>
      <c r="I78" s="7">
        <v>0</v>
      </c>
      <c r="J78" s="6">
        <v>1800</v>
      </c>
      <c r="K78" s="6">
        <v>960</v>
      </c>
      <c r="L78" s="6">
        <v>840</v>
      </c>
      <c r="M78" s="3" t="s">
        <v>54</v>
      </c>
      <c r="N78" s="3" t="s">
        <v>21</v>
      </c>
      <c r="O78" s="3" t="s">
        <v>22</v>
      </c>
      <c r="P78">
        <f t="shared" si="5"/>
        <v>0.46666666666666667</v>
      </c>
      <c r="Q78" t="str">
        <f t="shared" si="3"/>
        <v>Good Profit</v>
      </c>
      <c r="R78" t="str">
        <f t="shared" si="4"/>
        <v>Normal</v>
      </c>
    </row>
    <row r="79" spans="1:18" x14ac:dyDescent="0.25">
      <c r="A79" t="s">
        <v>148</v>
      </c>
      <c r="B79" s="8">
        <v>45959</v>
      </c>
      <c r="C79" t="s">
        <v>31</v>
      </c>
      <c r="D79" t="s">
        <v>123</v>
      </c>
      <c r="E79" t="s">
        <v>26</v>
      </c>
      <c r="F79" t="s">
        <v>80</v>
      </c>
      <c r="G79">
        <v>8</v>
      </c>
      <c r="H79" s="1">
        <v>1200</v>
      </c>
      <c r="I79" s="9">
        <v>0.1</v>
      </c>
      <c r="J79" s="1">
        <v>8640</v>
      </c>
      <c r="K79" s="1">
        <v>5600</v>
      </c>
      <c r="L79" s="1">
        <v>3040</v>
      </c>
      <c r="M79" t="s">
        <v>28</v>
      </c>
      <c r="N79" t="s">
        <v>45</v>
      </c>
      <c r="O79" t="s">
        <v>49</v>
      </c>
      <c r="P79">
        <f t="shared" si="5"/>
        <v>0.35185185185185186</v>
      </c>
      <c r="Q79" t="str">
        <f t="shared" si="3"/>
        <v>Good Profit</v>
      </c>
      <c r="R79" t="str">
        <f t="shared" si="4"/>
        <v>High Value</v>
      </c>
    </row>
    <row r="80" spans="1:18" x14ac:dyDescent="0.25">
      <c r="A80" s="3" t="s">
        <v>149</v>
      </c>
      <c r="B80" s="5">
        <v>45665</v>
      </c>
      <c r="C80" s="3" t="s">
        <v>31</v>
      </c>
      <c r="D80" s="3" t="s">
        <v>100</v>
      </c>
      <c r="E80" s="3" t="s">
        <v>26</v>
      </c>
      <c r="F80" s="3" t="s">
        <v>40</v>
      </c>
      <c r="G80" s="3">
        <v>3</v>
      </c>
      <c r="H80" s="6">
        <v>1800</v>
      </c>
      <c r="I80" s="7">
        <v>0.1</v>
      </c>
      <c r="J80" s="6">
        <v>4860</v>
      </c>
      <c r="K80" s="6">
        <v>3450</v>
      </c>
      <c r="L80" s="6">
        <v>1410</v>
      </c>
      <c r="M80" s="3" t="s">
        <v>28</v>
      </c>
      <c r="N80" s="3" t="s">
        <v>92</v>
      </c>
      <c r="O80" s="3" t="s">
        <v>36</v>
      </c>
      <c r="P80">
        <f t="shared" si="5"/>
        <v>0.29012345679012347</v>
      </c>
      <c r="Q80" t="str">
        <f t="shared" si="3"/>
        <v>Good Profit</v>
      </c>
      <c r="R80" t="str">
        <f t="shared" si="4"/>
        <v>Normal</v>
      </c>
    </row>
    <row r="81" spans="1:18" x14ac:dyDescent="0.25">
      <c r="A81" t="s">
        <v>150</v>
      </c>
      <c r="B81" s="8">
        <v>45984</v>
      </c>
      <c r="C81" t="s">
        <v>16</v>
      </c>
      <c r="D81" t="s">
        <v>17</v>
      </c>
      <c r="E81" t="s">
        <v>18</v>
      </c>
      <c r="F81" t="s">
        <v>19</v>
      </c>
      <c r="G81">
        <v>12</v>
      </c>
      <c r="H81" s="1">
        <v>5400</v>
      </c>
      <c r="I81" s="9">
        <v>0.05</v>
      </c>
      <c r="J81" s="1">
        <v>61560</v>
      </c>
      <c r="K81" s="1">
        <v>43200</v>
      </c>
      <c r="L81" s="1">
        <v>18360</v>
      </c>
      <c r="M81" t="s">
        <v>61</v>
      </c>
      <c r="N81" t="s">
        <v>21</v>
      </c>
      <c r="O81" t="s">
        <v>49</v>
      </c>
      <c r="P81">
        <f t="shared" si="5"/>
        <v>0.2982456140350877</v>
      </c>
      <c r="Q81" t="str">
        <f t="shared" si="3"/>
        <v>Good Profit</v>
      </c>
      <c r="R81" t="str">
        <f t="shared" si="4"/>
        <v>High Value</v>
      </c>
    </row>
    <row r="82" spans="1:18" x14ac:dyDescent="0.25">
      <c r="A82" s="3" t="s">
        <v>151</v>
      </c>
      <c r="B82" s="5">
        <v>45684</v>
      </c>
      <c r="C82" s="3" t="s">
        <v>38</v>
      </c>
      <c r="D82" s="3" t="s">
        <v>90</v>
      </c>
      <c r="E82" s="3" t="s">
        <v>52</v>
      </c>
      <c r="F82" s="3" t="s">
        <v>97</v>
      </c>
      <c r="G82" s="3">
        <v>6</v>
      </c>
      <c r="H82" s="6">
        <v>380</v>
      </c>
      <c r="I82" s="7">
        <v>0.05</v>
      </c>
      <c r="J82" s="6">
        <v>2166</v>
      </c>
      <c r="K82" s="6">
        <v>1500</v>
      </c>
      <c r="L82" s="6">
        <v>666</v>
      </c>
      <c r="M82" s="3" t="s">
        <v>54</v>
      </c>
      <c r="N82" s="3" t="s">
        <v>57</v>
      </c>
      <c r="O82" s="3" t="s">
        <v>49</v>
      </c>
      <c r="P82">
        <f t="shared" si="5"/>
        <v>0.30747922437673131</v>
      </c>
      <c r="Q82" t="str">
        <f t="shared" si="3"/>
        <v>Good Profit</v>
      </c>
      <c r="R82" t="str">
        <f t="shared" si="4"/>
        <v>Normal</v>
      </c>
    </row>
    <row r="83" spans="1:18" x14ac:dyDescent="0.25">
      <c r="A83" t="s">
        <v>152</v>
      </c>
      <c r="B83" s="8">
        <v>45735</v>
      </c>
      <c r="C83" t="s">
        <v>16</v>
      </c>
      <c r="D83" t="s">
        <v>104</v>
      </c>
      <c r="E83" t="s">
        <v>52</v>
      </c>
      <c r="F83" t="s">
        <v>88</v>
      </c>
      <c r="G83">
        <v>10</v>
      </c>
      <c r="H83" s="1">
        <v>250</v>
      </c>
      <c r="I83" s="9">
        <v>0</v>
      </c>
      <c r="J83" s="1">
        <v>2500</v>
      </c>
      <c r="K83" s="1">
        <v>1300</v>
      </c>
      <c r="L83" s="1">
        <v>1200</v>
      </c>
      <c r="M83" t="s">
        <v>34</v>
      </c>
      <c r="N83" t="s">
        <v>45</v>
      </c>
      <c r="O83" t="s">
        <v>49</v>
      </c>
      <c r="P83">
        <f t="shared" si="5"/>
        <v>0.48</v>
      </c>
      <c r="Q83" t="str">
        <f t="shared" si="3"/>
        <v>Good Profit</v>
      </c>
      <c r="R83" t="str">
        <f t="shared" si="4"/>
        <v>Normal</v>
      </c>
    </row>
    <row r="84" spans="1:18" x14ac:dyDescent="0.25">
      <c r="A84" s="3" t="s">
        <v>153</v>
      </c>
      <c r="B84" s="5">
        <v>45974</v>
      </c>
      <c r="C84" s="3" t="s">
        <v>31</v>
      </c>
      <c r="D84" s="3" t="s">
        <v>79</v>
      </c>
      <c r="E84" s="3" t="s">
        <v>18</v>
      </c>
      <c r="F84" s="3" t="s">
        <v>44</v>
      </c>
      <c r="G84" s="3">
        <v>10</v>
      </c>
      <c r="H84" s="6">
        <v>950</v>
      </c>
      <c r="I84" s="7">
        <v>0.2</v>
      </c>
      <c r="J84" s="6">
        <v>7600</v>
      </c>
      <c r="K84" s="6">
        <v>5200</v>
      </c>
      <c r="L84" s="6">
        <v>2400</v>
      </c>
      <c r="M84" s="3" t="s">
        <v>34</v>
      </c>
      <c r="N84" s="3" t="s">
        <v>35</v>
      </c>
      <c r="O84" s="3" t="s">
        <v>36</v>
      </c>
      <c r="P84">
        <f t="shared" si="5"/>
        <v>0.31578947368421051</v>
      </c>
      <c r="Q84" t="str">
        <f t="shared" si="3"/>
        <v>Good Profit</v>
      </c>
      <c r="R84" t="str">
        <f t="shared" si="4"/>
        <v>High Value</v>
      </c>
    </row>
    <row r="85" spans="1:18" x14ac:dyDescent="0.25">
      <c r="A85" t="s">
        <v>154</v>
      </c>
      <c r="B85" s="8">
        <v>45975</v>
      </c>
      <c r="C85" t="s">
        <v>24</v>
      </c>
      <c r="D85" t="s">
        <v>51</v>
      </c>
      <c r="E85" t="s">
        <v>18</v>
      </c>
      <c r="F85" t="s">
        <v>44</v>
      </c>
      <c r="G85">
        <v>5</v>
      </c>
      <c r="H85" s="1">
        <v>950</v>
      </c>
      <c r="I85" s="9">
        <v>0.2</v>
      </c>
      <c r="J85" s="1">
        <v>3800</v>
      </c>
      <c r="K85" s="1">
        <v>2600</v>
      </c>
      <c r="L85" s="1">
        <v>1200</v>
      </c>
      <c r="M85" t="s">
        <v>20</v>
      </c>
      <c r="N85" t="s">
        <v>21</v>
      </c>
      <c r="O85" t="s">
        <v>49</v>
      </c>
      <c r="P85">
        <f t="shared" si="5"/>
        <v>0.31578947368421051</v>
      </c>
      <c r="Q85" t="str">
        <f t="shared" si="3"/>
        <v>Good Profit</v>
      </c>
      <c r="R85" t="str">
        <f t="shared" si="4"/>
        <v>Normal</v>
      </c>
    </row>
    <row r="86" spans="1:18" x14ac:dyDescent="0.25">
      <c r="A86" s="3" t="s">
        <v>155</v>
      </c>
      <c r="B86" s="5">
        <v>45746</v>
      </c>
      <c r="C86" s="3" t="s">
        <v>31</v>
      </c>
      <c r="D86" s="3" t="s">
        <v>100</v>
      </c>
      <c r="E86" s="3" t="s">
        <v>18</v>
      </c>
      <c r="F86" s="3" t="s">
        <v>47</v>
      </c>
      <c r="G86" s="3">
        <v>3</v>
      </c>
      <c r="H86" s="6">
        <v>6200</v>
      </c>
      <c r="I86" s="7">
        <v>0.05</v>
      </c>
      <c r="J86" s="6">
        <v>17670</v>
      </c>
      <c r="K86" s="6">
        <v>12900</v>
      </c>
      <c r="L86" s="6">
        <v>4770</v>
      </c>
      <c r="M86" s="3" t="s">
        <v>28</v>
      </c>
      <c r="N86" s="3" t="s">
        <v>21</v>
      </c>
      <c r="O86" s="3" t="s">
        <v>49</v>
      </c>
      <c r="P86">
        <f t="shared" si="5"/>
        <v>0.2699490662139219</v>
      </c>
      <c r="Q86" t="str">
        <f t="shared" si="3"/>
        <v>Good Profit</v>
      </c>
      <c r="R86" t="str">
        <f t="shared" si="4"/>
        <v>High Value</v>
      </c>
    </row>
    <row r="87" spans="1:18" x14ac:dyDescent="0.25">
      <c r="A87" t="s">
        <v>156</v>
      </c>
      <c r="B87" s="8">
        <v>45807</v>
      </c>
      <c r="C87" t="s">
        <v>16</v>
      </c>
      <c r="D87" t="s">
        <v>104</v>
      </c>
      <c r="E87" t="s">
        <v>52</v>
      </c>
      <c r="F87" t="s">
        <v>53</v>
      </c>
      <c r="G87">
        <v>10</v>
      </c>
      <c r="H87" s="1">
        <v>90</v>
      </c>
      <c r="I87" s="9">
        <v>0.15</v>
      </c>
      <c r="J87" s="1">
        <v>765</v>
      </c>
      <c r="K87" s="1">
        <v>400</v>
      </c>
      <c r="L87" s="1">
        <v>365</v>
      </c>
      <c r="M87" t="s">
        <v>20</v>
      </c>
      <c r="N87" t="s">
        <v>48</v>
      </c>
      <c r="O87" t="s">
        <v>36</v>
      </c>
      <c r="P87">
        <f t="shared" si="5"/>
        <v>0.47712418300653597</v>
      </c>
      <c r="Q87" t="str">
        <f t="shared" si="3"/>
        <v>Low Profit</v>
      </c>
      <c r="R87" t="str">
        <f t="shared" si="4"/>
        <v>Normal</v>
      </c>
    </row>
    <row r="88" spans="1:18" x14ac:dyDescent="0.25">
      <c r="A88" s="3" t="s">
        <v>157</v>
      </c>
      <c r="B88" s="5">
        <v>45978</v>
      </c>
      <c r="C88" s="3" t="s">
        <v>38</v>
      </c>
      <c r="D88" s="3" t="s">
        <v>90</v>
      </c>
      <c r="E88" s="3" t="s">
        <v>26</v>
      </c>
      <c r="F88" s="3" t="s">
        <v>80</v>
      </c>
      <c r="G88" s="3">
        <v>4</v>
      </c>
      <c r="H88" s="6">
        <v>1200</v>
      </c>
      <c r="I88" s="7">
        <v>0.1</v>
      </c>
      <c r="J88" s="6">
        <v>4320</v>
      </c>
      <c r="K88" s="6">
        <v>2800</v>
      </c>
      <c r="L88" s="6">
        <v>1520</v>
      </c>
      <c r="M88" s="3" t="s">
        <v>28</v>
      </c>
      <c r="N88" s="3" t="s">
        <v>48</v>
      </c>
      <c r="O88" s="3" t="s">
        <v>36</v>
      </c>
      <c r="P88">
        <f t="shared" si="5"/>
        <v>0.35185185185185186</v>
      </c>
      <c r="Q88" t="str">
        <f t="shared" si="3"/>
        <v>Good Profit</v>
      </c>
      <c r="R88" t="str">
        <f t="shared" si="4"/>
        <v>Normal</v>
      </c>
    </row>
    <row r="89" spans="1:18" x14ac:dyDescent="0.25">
      <c r="A89" t="s">
        <v>158</v>
      </c>
      <c r="B89" s="8">
        <v>45694</v>
      </c>
      <c r="C89" t="s">
        <v>16</v>
      </c>
      <c r="D89" t="s">
        <v>60</v>
      </c>
      <c r="E89" t="s">
        <v>18</v>
      </c>
      <c r="F89" t="s">
        <v>75</v>
      </c>
      <c r="G89">
        <v>5</v>
      </c>
      <c r="H89" s="1">
        <v>7800</v>
      </c>
      <c r="I89" s="9">
        <v>0.05</v>
      </c>
      <c r="J89" s="1">
        <v>37050</v>
      </c>
      <c r="K89" s="1">
        <v>27500</v>
      </c>
      <c r="L89" s="1">
        <v>9550</v>
      </c>
      <c r="M89" t="s">
        <v>20</v>
      </c>
      <c r="N89" t="s">
        <v>92</v>
      </c>
      <c r="O89" t="s">
        <v>36</v>
      </c>
      <c r="P89">
        <f t="shared" si="5"/>
        <v>0.25775978407557354</v>
      </c>
      <c r="Q89" t="str">
        <f t="shared" si="3"/>
        <v>Good Profit</v>
      </c>
      <c r="R89" t="str">
        <f t="shared" si="4"/>
        <v>High Value</v>
      </c>
    </row>
    <row r="90" spans="1:18" x14ac:dyDescent="0.25">
      <c r="A90" s="3" t="s">
        <v>159</v>
      </c>
      <c r="B90" s="5">
        <v>46016</v>
      </c>
      <c r="C90" s="3" t="s">
        <v>38</v>
      </c>
      <c r="D90" s="3" t="s">
        <v>90</v>
      </c>
      <c r="E90" s="3" t="s">
        <v>26</v>
      </c>
      <c r="F90" s="3" t="s">
        <v>33</v>
      </c>
      <c r="G90" s="3">
        <v>12</v>
      </c>
      <c r="H90" s="6">
        <v>550</v>
      </c>
      <c r="I90" s="7">
        <v>0.1</v>
      </c>
      <c r="J90" s="6">
        <v>5940</v>
      </c>
      <c r="K90" s="6">
        <v>3600</v>
      </c>
      <c r="L90" s="6">
        <v>2340</v>
      </c>
      <c r="M90" s="3" t="s">
        <v>61</v>
      </c>
      <c r="N90" s="3" t="s">
        <v>45</v>
      </c>
      <c r="O90" s="3" t="s">
        <v>22</v>
      </c>
      <c r="P90">
        <f t="shared" si="5"/>
        <v>0.39393939393939392</v>
      </c>
      <c r="Q90" t="str">
        <f t="shared" si="3"/>
        <v>Good Profit</v>
      </c>
      <c r="R90" t="str">
        <f t="shared" si="4"/>
        <v>High Value</v>
      </c>
    </row>
    <row r="91" spans="1:18" x14ac:dyDescent="0.25">
      <c r="A91" t="s">
        <v>160</v>
      </c>
      <c r="B91" s="8">
        <v>45823</v>
      </c>
      <c r="C91" t="s">
        <v>24</v>
      </c>
      <c r="D91" t="s">
        <v>83</v>
      </c>
      <c r="E91" t="s">
        <v>26</v>
      </c>
      <c r="F91" t="s">
        <v>94</v>
      </c>
      <c r="G91">
        <v>1</v>
      </c>
      <c r="H91" s="1">
        <v>9500</v>
      </c>
      <c r="I91" s="9">
        <v>0.15</v>
      </c>
      <c r="J91" s="1">
        <v>8075</v>
      </c>
      <c r="K91" s="1">
        <v>7200</v>
      </c>
      <c r="L91" s="1">
        <v>875</v>
      </c>
      <c r="M91" t="s">
        <v>28</v>
      </c>
      <c r="N91" t="s">
        <v>45</v>
      </c>
      <c r="O91" t="s">
        <v>49</v>
      </c>
      <c r="P91">
        <f t="shared" si="5"/>
        <v>0.10835913312693499</v>
      </c>
      <c r="Q91" t="str">
        <f t="shared" si="3"/>
        <v>Good Profit</v>
      </c>
      <c r="R91" t="str">
        <f t="shared" si="4"/>
        <v>Normal</v>
      </c>
    </row>
    <row r="92" spans="1:18" x14ac:dyDescent="0.25">
      <c r="A92" s="3" t="s">
        <v>161</v>
      </c>
      <c r="B92" s="5">
        <v>46002</v>
      </c>
      <c r="C92" s="3" t="s">
        <v>16</v>
      </c>
      <c r="D92" s="3" t="s">
        <v>60</v>
      </c>
      <c r="E92" s="3" t="s">
        <v>18</v>
      </c>
      <c r="F92" s="3" t="s">
        <v>69</v>
      </c>
      <c r="G92" s="3">
        <v>10</v>
      </c>
      <c r="H92" s="6">
        <v>1600</v>
      </c>
      <c r="I92" s="7">
        <v>0</v>
      </c>
      <c r="J92" s="6">
        <v>16000</v>
      </c>
      <c r="K92" s="6">
        <v>9500</v>
      </c>
      <c r="L92" s="6">
        <v>6500</v>
      </c>
      <c r="M92" s="3" t="s">
        <v>54</v>
      </c>
      <c r="N92" s="3" t="s">
        <v>29</v>
      </c>
      <c r="O92" s="3" t="s">
        <v>49</v>
      </c>
      <c r="P92">
        <f t="shared" si="5"/>
        <v>0.40625</v>
      </c>
      <c r="Q92" t="str">
        <f t="shared" si="3"/>
        <v>Good Profit</v>
      </c>
      <c r="R92" t="str">
        <f t="shared" si="4"/>
        <v>High Value</v>
      </c>
    </row>
    <row r="93" spans="1:18" x14ac:dyDescent="0.25">
      <c r="A93" t="s">
        <v>162</v>
      </c>
      <c r="B93" s="8">
        <v>45983</v>
      </c>
      <c r="C93" t="s">
        <v>24</v>
      </c>
      <c r="D93" t="s">
        <v>83</v>
      </c>
      <c r="E93" t="s">
        <v>52</v>
      </c>
      <c r="F93" t="s">
        <v>64</v>
      </c>
      <c r="G93">
        <v>10</v>
      </c>
      <c r="H93" s="1">
        <v>120</v>
      </c>
      <c r="I93" s="9">
        <v>0.15</v>
      </c>
      <c r="J93" s="1">
        <v>1020</v>
      </c>
      <c r="K93" s="1">
        <v>550</v>
      </c>
      <c r="L93" s="1">
        <v>470</v>
      </c>
      <c r="M93" t="s">
        <v>61</v>
      </c>
      <c r="N93" t="s">
        <v>21</v>
      </c>
      <c r="O93" t="s">
        <v>36</v>
      </c>
      <c r="P93">
        <f t="shared" si="5"/>
        <v>0.46078431372549017</v>
      </c>
      <c r="Q93" t="str">
        <f t="shared" si="3"/>
        <v>Low Profit</v>
      </c>
      <c r="R93" t="str">
        <f t="shared" si="4"/>
        <v>Normal</v>
      </c>
    </row>
    <row r="94" spans="1:18" x14ac:dyDescent="0.25">
      <c r="A94" s="3" t="s">
        <v>163</v>
      </c>
      <c r="B94" s="5">
        <v>45740</v>
      </c>
      <c r="C94" s="3" t="s">
        <v>38</v>
      </c>
      <c r="D94" s="3" t="s">
        <v>90</v>
      </c>
      <c r="E94" s="3" t="s">
        <v>52</v>
      </c>
      <c r="F94" s="3" t="s">
        <v>73</v>
      </c>
      <c r="G94" s="3">
        <v>11</v>
      </c>
      <c r="H94" s="6">
        <v>450</v>
      </c>
      <c r="I94" s="7">
        <v>0</v>
      </c>
      <c r="J94" s="6">
        <v>4950</v>
      </c>
      <c r="K94" s="6">
        <v>2640</v>
      </c>
      <c r="L94" s="6">
        <v>2310</v>
      </c>
      <c r="M94" s="3" t="s">
        <v>54</v>
      </c>
      <c r="N94" s="3" t="s">
        <v>35</v>
      </c>
      <c r="O94" s="3" t="s">
        <v>22</v>
      </c>
      <c r="P94">
        <f t="shared" si="5"/>
        <v>0.46666666666666667</v>
      </c>
      <c r="Q94" t="str">
        <f t="shared" si="3"/>
        <v>Good Profit</v>
      </c>
      <c r="R94" t="str">
        <f t="shared" si="4"/>
        <v>Normal</v>
      </c>
    </row>
    <row r="95" spans="1:18" x14ac:dyDescent="0.25">
      <c r="A95" t="s">
        <v>164</v>
      </c>
      <c r="B95" s="8">
        <v>45890</v>
      </c>
      <c r="C95" t="s">
        <v>24</v>
      </c>
      <c r="D95" t="s">
        <v>51</v>
      </c>
      <c r="E95" t="s">
        <v>18</v>
      </c>
      <c r="F95" t="s">
        <v>44</v>
      </c>
      <c r="G95">
        <v>9</v>
      </c>
      <c r="H95" s="1">
        <v>950</v>
      </c>
      <c r="I95" s="9">
        <v>0</v>
      </c>
      <c r="J95" s="1">
        <v>8550</v>
      </c>
      <c r="K95" s="1">
        <v>4680</v>
      </c>
      <c r="L95" s="1">
        <v>3870</v>
      </c>
      <c r="M95" t="s">
        <v>20</v>
      </c>
      <c r="N95" t="s">
        <v>41</v>
      </c>
      <c r="O95" t="s">
        <v>36</v>
      </c>
      <c r="P95">
        <f t="shared" si="5"/>
        <v>0.45263157894736844</v>
      </c>
      <c r="Q95" t="str">
        <f t="shared" si="3"/>
        <v>Good Profit</v>
      </c>
      <c r="R95" t="str">
        <f t="shared" si="4"/>
        <v>High Value</v>
      </c>
    </row>
    <row r="96" spans="1:18" x14ac:dyDescent="0.25">
      <c r="A96" s="3" t="s">
        <v>165</v>
      </c>
      <c r="B96" s="5">
        <v>45894</v>
      </c>
      <c r="C96" s="3" t="s">
        <v>38</v>
      </c>
      <c r="D96" s="3" t="s">
        <v>43</v>
      </c>
      <c r="E96" s="3" t="s">
        <v>52</v>
      </c>
      <c r="F96" s="3" t="s">
        <v>108</v>
      </c>
      <c r="G96" s="3">
        <v>1</v>
      </c>
      <c r="H96" s="6">
        <v>180</v>
      </c>
      <c r="I96" s="7">
        <v>0.2</v>
      </c>
      <c r="J96" s="6">
        <v>144</v>
      </c>
      <c r="K96" s="6">
        <v>90</v>
      </c>
      <c r="L96" s="6">
        <v>54</v>
      </c>
      <c r="M96" s="3" t="s">
        <v>61</v>
      </c>
      <c r="N96" s="3" t="s">
        <v>29</v>
      </c>
      <c r="O96" s="3" t="s">
        <v>49</v>
      </c>
      <c r="P96">
        <f t="shared" si="5"/>
        <v>0.375</v>
      </c>
      <c r="Q96" t="str">
        <f t="shared" si="3"/>
        <v>Low Profit</v>
      </c>
      <c r="R96" t="str">
        <f t="shared" si="4"/>
        <v>Normal</v>
      </c>
    </row>
    <row r="97" spans="1:18" x14ac:dyDescent="0.25">
      <c r="A97" t="s">
        <v>166</v>
      </c>
      <c r="B97" s="8">
        <v>45794</v>
      </c>
      <c r="C97" t="s">
        <v>38</v>
      </c>
      <c r="D97" t="s">
        <v>90</v>
      </c>
      <c r="E97" t="s">
        <v>18</v>
      </c>
      <c r="F97" t="s">
        <v>44</v>
      </c>
      <c r="G97">
        <v>1</v>
      </c>
      <c r="H97" s="1">
        <v>950</v>
      </c>
      <c r="I97" s="9">
        <v>0.05</v>
      </c>
      <c r="J97" s="1">
        <v>902.5</v>
      </c>
      <c r="K97" s="1">
        <v>520</v>
      </c>
      <c r="L97" s="1">
        <v>382.5</v>
      </c>
      <c r="M97" t="s">
        <v>28</v>
      </c>
      <c r="N97" t="s">
        <v>92</v>
      </c>
      <c r="O97" t="s">
        <v>36</v>
      </c>
      <c r="P97">
        <f t="shared" si="5"/>
        <v>0.42382271468144045</v>
      </c>
      <c r="Q97" t="str">
        <f t="shared" si="3"/>
        <v>Low Profit</v>
      </c>
      <c r="R97" t="str">
        <f t="shared" si="4"/>
        <v>Normal</v>
      </c>
    </row>
    <row r="98" spans="1:18" x14ac:dyDescent="0.25">
      <c r="A98" s="3" t="s">
        <v>167</v>
      </c>
      <c r="B98" s="5">
        <v>45780</v>
      </c>
      <c r="C98" s="3" t="s">
        <v>24</v>
      </c>
      <c r="D98" s="3" t="s">
        <v>83</v>
      </c>
      <c r="E98" s="3" t="s">
        <v>26</v>
      </c>
      <c r="F98" s="3" t="s">
        <v>27</v>
      </c>
      <c r="G98" s="3">
        <v>11</v>
      </c>
      <c r="H98" s="6">
        <v>650</v>
      </c>
      <c r="I98" s="7">
        <v>0.2</v>
      </c>
      <c r="J98" s="6">
        <v>5720</v>
      </c>
      <c r="K98" s="6">
        <v>4180</v>
      </c>
      <c r="L98" s="6">
        <v>1540</v>
      </c>
      <c r="M98" s="3" t="s">
        <v>34</v>
      </c>
      <c r="N98" s="3" t="s">
        <v>45</v>
      </c>
      <c r="O98" s="3" t="s">
        <v>22</v>
      </c>
      <c r="P98">
        <f t="shared" si="5"/>
        <v>0.26923076923076922</v>
      </c>
      <c r="Q98" t="str">
        <f t="shared" si="3"/>
        <v>Good Profit</v>
      </c>
      <c r="R98" t="str">
        <f t="shared" si="4"/>
        <v>High Value</v>
      </c>
    </row>
    <row r="99" spans="1:18" x14ac:dyDescent="0.25">
      <c r="A99" t="s">
        <v>168</v>
      </c>
      <c r="B99" s="8">
        <v>45718</v>
      </c>
      <c r="C99" t="s">
        <v>16</v>
      </c>
      <c r="D99" t="s">
        <v>104</v>
      </c>
      <c r="E99" t="s">
        <v>26</v>
      </c>
      <c r="F99" t="s">
        <v>66</v>
      </c>
      <c r="G99">
        <v>2</v>
      </c>
      <c r="H99" s="1">
        <v>950</v>
      </c>
      <c r="I99" s="9">
        <v>0.15</v>
      </c>
      <c r="J99" s="1">
        <v>1615</v>
      </c>
      <c r="K99" s="1">
        <v>1140</v>
      </c>
      <c r="L99" s="1">
        <v>475</v>
      </c>
      <c r="M99" t="s">
        <v>34</v>
      </c>
      <c r="N99" t="s">
        <v>57</v>
      </c>
      <c r="O99" t="s">
        <v>22</v>
      </c>
      <c r="P99">
        <f t="shared" si="5"/>
        <v>0.29411764705882354</v>
      </c>
      <c r="Q99" t="str">
        <f t="shared" si="3"/>
        <v>Low Profit</v>
      </c>
      <c r="R99" t="str">
        <f t="shared" si="4"/>
        <v>Normal</v>
      </c>
    </row>
    <row r="100" spans="1:18" x14ac:dyDescent="0.25">
      <c r="A100" s="3" t="s">
        <v>169</v>
      </c>
      <c r="B100" s="5">
        <v>45891</v>
      </c>
      <c r="C100" s="3" t="s">
        <v>38</v>
      </c>
      <c r="D100" s="3" t="s">
        <v>170</v>
      </c>
      <c r="E100" s="3" t="s">
        <v>52</v>
      </c>
      <c r="F100" s="3" t="s">
        <v>97</v>
      </c>
      <c r="G100" s="3">
        <v>8</v>
      </c>
      <c r="H100" s="6">
        <v>380</v>
      </c>
      <c r="I100" s="7">
        <v>0.05</v>
      </c>
      <c r="J100" s="6">
        <v>2888</v>
      </c>
      <c r="K100" s="6">
        <v>2000</v>
      </c>
      <c r="L100" s="6">
        <v>888</v>
      </c>
      <c r="M100" s="3" t="s">
        <v>28</v>
      </c>
      <c r="N100" s="3" t="s">
        <v>92</v>
      </c>
      <c r="O100" s="3" t="s">
        <v>36</v>
      </c>
      <c r="P100">
        <f t="shared" si="5"/>
        <v>0.30747922437673131</v>
      </c>
      <c r="Q100" t="str">
        <f t="shared" si="3"/>
        <v>Good Profit</v>
      </c>
      <c r="R100" t="str">
        <f t="shared" si="4"/>
        <v>Normal</v>
      </c>
    </row>
    <row r="101" spans="1:18" x14ac:dyDescent="0.25">
      <c r="A101" t="s">
        <v>171</v>
      </c>
      <c r="B101" s="8">
        <v>45917</v>
      </c>
      <c r="C101" t="s">
        <v>31</v>
      </c>
      <c r="D101" t="s">
        <v>123</v>
      </c>
      <c r="E101" t="s">
        <v>26</v>
      </c>
      <c r="F101" t="s">
        <v>40</v>
      </c>
      <c r="G101">
        <v>7</v>
      </c>
      <c r="H101" s="1">
        <v>1800</v>
      </c>
      <c r="I101" s="9">
        <v>0.1</v>
      </c>
      <c r="J101" s="1">
        <v>11340</v>
      </c>
      <c r="K101" s="1">
        <v>8050</v>
      </c>
      <c r="L101" s="1">
        <v>3290</v>
      </c>
      <c r="M101" t="s">
        <v>54</v>
      </c>
      <c r="N101" t="s">
        <v>29</v>
      </c>
      <c r="O101" t="s">
        <v>36</v>
      </c>
      <c r="P101">
        <f t="shared" si="5"/>
        <v>0.29012345679012347</v>
      </c>
      <c r="Q101" t="str">
        <f t="shared" si="3"/>
        <v>Good Profit</v>
      </c>
      <c r="R101" t="str">
        <f t="shared" si="4"/>
        <v>High Value</v>
      </c>
    </row>
    <row r="102" spans="1:18" x14ac:dyDescent="0.25">
      <c r="A102" s="3" t="s">
        <v>172</v>
      </c>
      <c r="B102" s="5">
        <v>45834</v>
      </c>
      <c r="C102" s="3" t="s">
        <v>38</v>
      </c>
      <c r="D102" s="3" t="s">
        <v>90</v>
      </c>
      <c r="E102" s="3" t="s">
        <v>26</v>
      </c>
      <c r="F102" s="3" t="s">
        <v>33</v>
      </c>
      <c r="G102" s="3">
        <v>9</v>
      </c>
      <c r="H102" s="6">
        <v>550</v>
      </c>
      <c r="I102" s="7">
        <v>0.15</v>
      </c>
      <c r="J102" s="6">
        <v>4207.5</v>
      </c>
      <c r="K102" s="6">
        <v>2700</v>
      </c>
      <c r="L102" s="6">
        <v>1507.5</v>
      </c>
      <c r="M102" s="3" t="s">
        <v>54</v>
      </c>
      <c r="N102" s="3" t="s">
        <v>35</v>
      </c>
      <c r="O102" s="3" t="s">
        <v>36</v>
      </c>
      <c r="P102">
        <f t="shared" si="5"/>
        <v>0.35828877005347592</v>
      </c>
      <c r="Q102" t="str">
        <f t="shared" si="3"/>
        <v>Good Profit</v>
      </c>
      <c r="R102" t="str">
        <f t="shared" si="4"/>
        <v>Normal</v>
      </c>
    </row>
    <row r="103" spans="1:18" x14ac:dyDescent="0.25">
      <c r="A103" t="s">
        <v>173</v>
      </c>
      <c r="B103" s="8">
        <v>45777</v>
      </c>
      <c r="C103" t="s">
        <v>38</v>
      </c>
      <c r="D103" t="s">
        <v>39</v>
      </c>
      <c r="E103" t="s">
        <v>18</v>
      </c>
      <c r="F103" t="s">
        <v>75</v>
      </c>
      <c r="G103">
        <v>10</v>
      </c>
      <c r="H103" s="1">
        <v>7800</v>
      </c>
      <c r="I103" s="9">
        <v>0.15</v>
      </c>
      <c r="J103" s="1">
        <v>66300</v>
      </c>
      <c r="K103" s="1">
        <v>55000</v>
      </c>
      <c r="L103" s="1">
        <v>11300</v>
      </c>
      <c r="M103" t="s">
        <v>61</v>
      </c>
      <c r="N103" t="s">
        <v>29</v>
      </c>
      <c r="O103" t="s">
        <v>36</v>
      </c>
      <c r="P103">
        <f t="shared" si="5"/>
        <v>0.17043740573152338</v>
      </c>
      <c r="Q103" t="str">
        <f t="shared" si="3"/>
        <v>Good Profit</v>
      </c>
      <c r="R103" t="str">
        <f t="shared" si="4"/>
        <v>High Value</v>
      </c>
    </row>
    <row r="104" spans="1:18" x14ac:dyDescent="0.25">
      <c r="A104" s="3" t="s">
        <v>174</v>
      </c>
      <c r="B104" s="5">
        <v>45911</v>
      </c>
      <c r="C104" s="3" t="s">
        <v>24</v>
      </c>
      <c r="D104" s="3" t="s">
        <v>83</v>
      </c>
      <c r="E104" s="3" t="s">
        <v>52</v>
      </c>
      <c r="F104" s="3" t="s">
        <v>53</v>
      </c>
      <c r="G104" s="3">
        <v>11</v>
      </c>
      <c r="H104" s="6">
        <v>90</v>
      </c>
      <c r="I104" s="7">
        <v>0.05</v>
      </c>
      <c r="J104" s="6">
        <v>940.5</v>
      </c>
      <c r="K104" s="6">
        <v>440</v>
      </c>
      <c r="L104" s="6">
        <v>500.5</v>
      </c>
      <c r="M104" s="3" t="s">
        <v>20</v>
      </c>
      <c r="N104" s="3" t="s">
        <v>92</v>
      </c>
      <c r="O104" s="3" t="s">
        <v>22</v>
      </c>
      <c r="P104">
        <f t="shared" si="5"/>
        <v>0.53216374269005851</v>
      </c>
      <c r="Q104" t="str">
        <f t="shared" si="3"/>
        <v>Good Profit</v>
      </c>
      <c r="R104" t="str">
        <f t="shared" si="4"/>
        <v>Normal</v>
      </c>
    </row>
    <row r="105" spans="1:18" x14ac:dyDescent="0.25">
      <c r="A105" t="s">
        <v>175</v>
      </c>
      <c r="B105" s="8">
        <v>45665</v>
      </c>
      <c r="C105" t="s">
        <v>38</v>
      </c>
      <c r="D105" t="s">
        <v>43</v>
      </c>
      <c r="E105" t="s">
        <v>52</v>
      </c>
      <c r="F105" t="s">
        <v>88</v>
      </c>
      <c r="G105">
        <v>9</v>
      </c>
      <c r="H105" s="1">
        <v>250</v>
      </c>
      <c r="I105" s="9">
        <v>0.15</v>
      </c>
      <c r="J105" s="1">
        <v>1912.5</v>
      </c>
      <c r="K105" s="1">
        <v>1170</v>
      </c>
      <c r="L105" s="1">
        <v>742.5</v>
      </c>
      <c r="M105" t="s">
        <v>34</v>
      </c>
      <c r="N105" t="s">
        <v>35</v>
      </c>
      <c r="O105" t="s">
        <v>22</v>
      </c>
      <c r="P105">
        <f t="shared" si="5"/>
        <v>0.38823529411764707</v>
      </c>
      <c r="Q105" t="str">
        <f t="shared" si="3"/>
        <v>Good Profit</v>
      </c>
      <c r="R105" t="str">
        <f t="shared" si="4"/>
        <v>Normal</v>
      </c>
    </row>
    <row r="106" spans="1:18" x14ac:dyDescent="0.25">
      <c r="A106" s="3" t="s">
        <v>176</v>
      </c>
      <c r="B106" s="5">
        <v>46012</v>
      </c>
      <c r="C106" s="3" t="s">
        <v>31</v>
      </c>
      <c r="D106" s="3" t="s">
        <v>79</v>
      </c>
      <c r="E106" s="3" t="s">
        <v>52</v>
      </c>
      <c r="F106" s="3" t="s">
        <v>73</v>
      </c>
      <c r="G106" s="3">
        <v>6</v>
      </c>
      <c r="H106" s="6">
        <v>450</v>
      </c>
      <c r="I106" s="7">
        <v>0.2</v>
      </c>
      <c r="J106" s="6">
        <v>2160</v>
      </c>
      <c r="K106" s="6">
        <v>1440</v>
      </c>
      <c r="L106" s="6">
        <v>720</v>
      </c>
      <c r="M106" s="3" t="s">
        <v>61</v>
      </c>
      <c r="N106" s="3" t="s">
        <v>21</v>
      </c>
      <c r="O106" s="3" t="s">
        <v>36</v>
      </c>
      <c r="P106">
        <f t="shared" si="5"/>
        <v>0.33333333333333331</v>
      </c>
      <c r="Q106" t="str">
        <f t="shared" si="3"/>
        <v>Good Profit</v>
      </c>
      <c r="R106" t="str">
        <f t="shared" si="4"/>
        <v>Normal</v>
      </c>
    </row>
    <row r="107" spans="1:18" x14ac:dyDescent="0.25">
      <c r="A107" t="s">
        <v>177</v>
      </c>
      <c r="B107" s="8">
        <v>45676</v>
      </c>
      <c r="C107" t="s">
        <v>24</v>
      </c>
      <c r="D107" t="s">
        <v>51</v>
      </c>
      <c r="E107" t="s">
        <v>18</v>
      </c>
      <c r="F107" t="s">
        <v>56</v>
      </c>
      <c r="G107">
        <v>8</v>
      </c>
      <c r="H107" s="1">
        <v>8900</v>
      </c>
      <c r="I107" s="9">
        <v>0.2</v>
      </c>
      <c r="J107" s="1">
        <v>56960</v>
      </c>
      <c r="K107" s="1">
        <v>51200</v>
      </c>
      <c r="L107" s="1">
        <v>5760</v>
      </c>
      <c r="M107" t="s">
        <v>28</v>
      </c>
      <c r="N107" t="s">
        <v>21</v>
      </c>
      <c r="O107" t="s">
        <v>49</v>
      </c>
      <c r="P107">
        <f t="shared" si="5"/>
        <v>0.10112359550561797</v>
      </c>
      <c r="Q107" t="str">
        <f t="shared" si="3"/>
        <v>Good Profit</v>
      </c>
      <c r="R107" t="str">
        <f t="shared" si="4"/>
        <v>High Value</v>
      </c>
    </row>
    <row r="108" spans="1:18" x14ac:dyDescent="0.25">
      <c r="A108" s="3" t="s">
        <v>178</v>
      </c>
      <c r="B108" s="5">
        <v>45982</v>
      </c>
      <c r="C108" s="3" t="s">
        <v>38</v>
      </c>
      <c r="D108" s="3" t="s">
        <v>39</v>
      </c>
      <c r="E108" s="3" t="s">
        <v>18</v>
      </c>
      <c r="F108" s="3" t="s">
        <v>47</v>
      </c>
      <c r="G108" s="3">
        <v>7</v>
      </c>
      <c r="H108" s="6">
        <v>6200</v>
      </c>
      <c r="I108" s="7">
        <v>0</v>
      </c>
      <c r="J108" s="6">
        <v>43400</v>
      </c>
      <c r="K108" s="6">
        <v>30100</v>
      </c>
      <c r="L108" s="6">
        <v>13300</v>
      </c>
      <c r="M108" s="3" t="s">
        <v>20</v>
      </c>
      <c r="N108" s="3" t="s">
        <v>57</v>
      </c>
      <c r="O108" s="3" t="s">
        <v>49</v>
      </c>
      <c r="P108">
        <f t="shared" si="5"/>
        <v>0.30645161290322581</v>
      </c>
      <c r="Q108" t="str">
        <f t="shared" si="3"/>
        <v>Good Profit</v>
      </c>
      <c r="R108" t="str">
        <f t="shared" si="4"/>
        <v>High Value</v>
      </c>
    </row>
    <row r="109" spans="1:18" x14ac:dyDescent="0.25">
      <c r="A109" t="s">
        <v>179</v>
      </c>
      <c r="B109" s="8">
        <v>45841</v>
      </c>
      <c r="C109" t="s">
        <v>38</v>
      </c>
      <c r="D109" t="s">
        <v>43</v>
      </c>
      <c r="E109" t="s">
        <v>26</v>
      </c>
      <c r="F109" t="s">
        <v>40</v>
      </c>
      <c r="G109">
        <v>1</v>
      </c>
      <c r="H109" s="1">
        <v>1800</v>
      </c>
      <c r="I109" s="9">
        <v>0.1</v>
      </c>
      <c r="J109" s="1">
        <v>1620</v>
      </c>
      <c r="K109" s="1">
        <v>1150</v>
      </c>
      <c r="L109" s="1">
        <v>470</v>
      </c>
      <c r="M109" t="s">
        <v>54</v>
      </c>
      <c r="N109" t="s">
        <v>35</v>
      </c>
      <c r="O109" t="s">
        <v>49</v>
      </c>
      <c r="P109">
        <f t="shared" si="5"/>
        <v>0.29012345679012347</v>
      </c>
      <c r="Q109" t="str">
        <f t="shared" si="3"/>
        <v>Low Profit</v>
      </c>
      <c r="R109" t="str">
        <f t="shared" si="4"/>
        <v>Normal</v>
      </c>
    </row>
    <row r="110" spans="1:18" x14ac:dyDescent="0.25">
      <c r="A110" s="3" t="s">
        <v>180</v>
      </c>
      <c r="B110" s="5">
        <v>45747</v>
      </c>
      <c r="C110" s="3" t="s">
        <v>31</v>
      </c>
      <c r="D110" s="3" t="s">
        <v>32</v>
      </c>
      <c r="E110" s="3" t="s">
        <v>18</v>
      </c>
      <c r="F110" s="3" t="s">
        <v>56</v>
      </c>
      <c r="G110" s="3">
        <v>3</v>
      </c>
      <c r="H110" s="6">
        <v>8900</v>
      </c>
      <c r="I110" s="7">
        <v>0.05</v>
      </c>
      <c r="J110" s="6">
        <v>25365</v>
      </c>
      <c r="K110" s="6">
        <v>19200</v>
      </c>
      <c r="L110" s="6">
        <v>6165</v>
      </c>
      <c r="M110" s="3" t="s">
        <v>20</v>
      </c>
      <c r="N110" s="3" t="s">
        <v>35</v>
      </c>
      <c r="O110" s="3" t="s">
        <v>22</v>
      </c>
      <c r="P110">
        <f t="shared" si="5"/>
        <v>0.24305144884683619</v>
      </c>
      <c r="Q110" t="str">
        <f t="shared" si="3"/>
        <v>Good Profit</v>
      </c>
      <c r="R110" t="str">
        <f t="shared" si="4"/>
        <v>High Value</v>
      </c>
    </row>
    <row r="111" spans="1:18" x14ac:dyDescent="0.25">
      <c r="A111" t="s">
        <v>181</v>
      </c>
      <c r="B111" s="8">
        <v>45984</v>
      </c>
      <c r="C111" t="s">
        <v>31</v>
      </c>
      <c r="D111" t="s">
        <v>32</v>
      </c>
      <c r="E111" t="s">
        <v>18</v>
      </c>
      <c r="F111" t="s">
        <v>75</v>
      </c>
      <c r="G111">
        <v>4</v>
      </c>
      <c r="H111" s="1">
        <v>7800</v>
      </c>
      <c r="I111" s="9">
        <v>0.15</v>
      </c>
      <c r="J111" s="1">
        <v>26520</v>
      </c>
      <c r="K111" s="1">
        <v>22000</v>
      </c>
      <c r="L111" s="1">
        <v>4520</v>
      </c>
      <c r="M111" t="s">
        <v>54</v>
      </c>
      <c r="N111" t="s">
        <v>57</v>
      </c>
      <c r="O111" t="s">
        <v>36</v>
      </c>
      <c r="P111">
        <f t="shared" si="5"/>
        <v>0.17043740573152338</v>
      </c>
      <c r="Q111" t="str">
        <f t="shared" si="3"/>
        <v>Good Profit</v>
      </c>
      <c r="R111" t="str">
        <f t="shared" si="4"/>
        <v>High Value</v>
      </c>
    </row>
    <row r="112" spans="1:18" x14ac:dyDescent="0.25">
      <c r="A112" s="3" t="s">
        <v>182</v>
      </c>
      <c r="B112" s="5">
        <v>45695</v>
      </c>
      <c r="C112" s="3" t="s">
        <v>16</v>
      </c>
      <c r="D112" s="3" t="s">
        <v>104</v>
      </c>
      <c r="E112" s="3" t="s">
        <v>52</v>
      </c>
      <c r="F112" s="3" t="s">
        <v>53</v>
      </c>
      <c r="G112" s="3">
        <v>9</v>
      </c>
      <c r="H112" s="6">
        <v>90</v>
      </c>
      <c r="I112" s="7">
        <v>0.05</v>
      </c>
      <c r="J112" s="6">
        <v>769.5</v>
      </c>
      <c r="K112" s="6">
        <v>360</v>
      </c>
      <c r="L112" s="6">
        <v>409.5</v>
      </c>
      <c r="M112" s="3" t="s">
        <v>61</v>
      </c>
      <c r="N112" s="3" t="s">
        <v>41</v>
      </c>
      <c r="O112" s="3" t="s">
        <v>22</v>
      </c>
      <c r="P112">
        <f t="shared" si="5"/>
        <v>0.53216374269005851</v>
      </c>
      <c r="Q112" t="str">
        <f t="shared" si="3"/>
        <v>Low Profit</v>
      </c>
      <c r="R112" t="str">
        <f t="shared" si="4"/>
        <v>Normal</v>
      </c>
    </row>
    <row r="113" spans="1:18" x14ac:dyDescent="0.25">
      <c r="A113" t="s">
        <v>183</v>
      </c>
      <c r="B113" s="8">
        <v>45759</v>
      </c>
      <c r="C113" t="s">
        <v>38</v>
      </c>
      <c r="D113" t="s">
        <v>90</v>
      </c>
      <c r="E113" t="s">
        <v>18</v>
      </c>
      <c r="F113" t="s">
        <v>19</v>
      </c>
      <c r="G113">
        <v>8</v>
      </c>
      <c r="H113" s="1">
        <v>5400</v>
      </c>
      <c r="I113" s="9">
        <v>0.1</v>
      </c>
      <c r="J113" s="1">
        <v>38880</v>
      </c>
      <c r="K113" s="1">
        <v>28800</v>
      </c>
      <c r="L113" s="1">
        <v>10080</v>
      </c>
      <c r="M113" t="s">
        <v>61</v>
      </c>
      <c r="N113" t="s">
        <v>57</v>
      </c>
      <c r="O113" t="s">
        <v>49</v>
      </c>
      <c r="P113">
        <f t="shared" si="5"/>
        <v>0.25925925925925924</v>
      </c>
      <c r="Q113" t="str">
        <f t="shared" si="3"/>
        <v>Good Profit</v>
      </c>
      <c r="R113" t="str">
        <f t="shared" si="4"/>
        <v>High Value</v>
      </c>
    </row>
    <row r="114" spans="1:18" x14ac:dyDescent="0.25">
      <c r="A114" s="3" t="s">
        <v>184</v>
      </c>
      <c r="B114" s="5">
        <v>46016</v>
      </c>
      <c r="C114" s="3" t="s">
        <v>31</v>
      </c>
      <c r="D114" s="3" t="s">
        <v>32</v>
      </c>
      <c r="E114" s="3" t="s">
        <v>18</v>
      </c>
      <c r="F114" s="3" t="s">
        <v>19</v>
      </c>
      <c r="G114" s="3">
        <v>10</v>
      </c>
      <c r="H114" s="6">
        <v>5400</v>
      </c>
      <c r="I114" s="7">
        <v>0.1</v>
      </c>
      <c r="J114" s="6">
        <v>48600</v>
      </c>
      <c r="K114" s="6">
        <v>36000</v>
      </c>
      <c r="L114" s="6">
        <v>12600</v>
      </c>
      <c r="M114" s="3" t="s">
        <v>54</v>
      </c>
      <c r="N114" s="3" t="s">
        <v>29</v>
      </c>
      <c r="O114" s="3" t="s">
        <v>22</v>
      </c>
      <c r="P114">
        <f t="shared" si="5"/>
        <v>0.25925925925925924</v>
      </c>
      <c r="Q114" t="str">
        <f t="shared" si="3"/>
        <v>Good Profit</v>
      </c>
      <c r="R114" t="str">
        <f t="shared" si="4"/>
        <v>High Value</v>
      </c>
    </row>
    <row r="115" spans="1:18" x14ac:dyDescent="0.25">
      <c r="A115" t="s">
        <v>185</v>
      </c>
      <c r="B115" s="8">
        <v>45968</v>
      </c>
      <c r="C115" t="s">
        <v>24</v>
      </c>
      <c r="D115" t="s">
        <v>51</v>
      </c>
      <c r="E115" t="s">
        <v>26</v>
      </c>
      <c r="F115" t="s">
        <v>94</v>
      </c>
      <c r="G115">
        <v>11</v>
      </c>
      <c r="H115" s="1">
        <v>9500</v>
      </c>
      <c r="I115" s="9">
        <v>0</v>
      </c>
      <c r="J115" s="1">
        <v>104500</v>
      </c>
      <c r="K115" s="1">
        <v>79200</v>
      </c>
      <c r="L115" s="1">
        <v>25300</v>
      </c>
      <c r="M115" t="s">
        <v>61</v>
      </c>
      <c r="N115" t="s">
        <v>45</v>
      </c>
      <c r="O115" t="s">
        <v>49</v>
      </c>
      <c r="P115">
        <f t="shared" si="5"/>
        <v>0.24210526315789474</v>
      </c>
      <c r="Q115" t="str">
        <f t="shared" si="3"/>
        <v>Good Profit</v>
      </c>
      <c r="R115" t="str">
        <f t="shared" si="4"/>
        <v>High Value</v>
      </c>
    </row>
    <row r="116" spans="1:18" x14ac:dyDescent="0.25">
      <c r="A116" s="3" t="s">
        <v>186</v>
      </c>
      <c r="B116" s="5">
        <v>46005</v>
      </c>
      <c r="C116" s="3" t="s">
        <v>38</v>
      </c>
      <c r="D116" s="3" t="s">
        <v>39</v>
      </c>
      <c r="E116" s="3" t="s">
        <v>18</v>
      </c>
      <c r="F116" s="3" t="s">
        <v>75</v>
      </c>
      <c r="G116" s="3">
        <v>10</v>
      </c>
      <c r="H116" s="6">
        <v>7800</v>
      </c>
      <c r="I116" s="7">
        <v>0.1</v>
      </c>
      <c r="J116" s="6">
        <v>70200</v>
      </c>
      <c r="K116" s="6">
        <v>55000</v>
      </c>
      <c r="L116" s="6">
        <v>15200</v>
      </c>
      <c r="M116" s="3" t="s">
        <v>34</v>
      </c>
      <c r="N116" s="3" t="s">
        <v>21</v>
      </c>
      <c r="O116" s="3" t="s">
        <v>22</v>
      </c>
      <c r="P116">
        <f t="shared" si="5"/>
        <v>0.21652421652421652</v>
      </c>
      <c r="Q116" t="str">
        <f t="shared" si="3"/>
        <v>Good Profit</v>
      </c>
      <c r="R116" t="str">
        <f t="shared" si="4"/>
        <v>High Value</v>
      </c>
    </row>
    <row r="117" spans="1:18" x14ac:dyDescent="0.25">
      <c r="A117" t="s">
        <v>187</v>
      </c>
      <c r="B117" s="8">
        <v>45725</v>
      </c>
      <c r="C117" t="s">
        <v>16</v>
      </c>
      <c r="D117" t="s">
        <v>139</v>
      </c>
      <c r="E117" t="s">
        <v>52</v>
      </c>
      <c r="F117" t="s">
        <v>88</v>
      </c>
      <c r="G117">
        <v>10</v>
      </c>
      <c r="H117" s="1">
        <v>250</v>
      </c>
      <c r="I117" s="9">
        <v>0.1</v>
      </c>
      <c r="J117" s="1">
        <v>2250</v>
      </c>
      <c r="K117" s="1">
        <v>1300</v>
      </c>
      <c r="L117" s="1">
        <v>950</v>
      </c>
      <c r="M117" t="s">
        <v>20</v>
      </c>
      <c r="N117" t="s">
        <v>45</v>
      </c>
      <c r="O117" t="s">
        <v>36</v>
      </c>
      <c r="P117">
        <f t="shared" si="5"/>
        <v>0.42222222222222222</v>
      </c>
      <c r="Q117" t="str">
        <f t="shared" si="3"/>
        <v>Good Profit</v>
      </c>
      <c r="R117" t="str">
        <f t="shared" si="4"/>
        <v>Normal</v>
      </c>
    </row>
    <row r="118" spans="1:18" x14ac:dyDescent="0.25">
      <c r="A118" s="3" t="s">
        <v>188</v>
      </c>
      <c r="B118" s="5">
        <v>45929</v>
      </c>
      <c r="C118" s="3" t="s">
        <v>24</v>
      </c>
      <c r="D118" s="3" t="s">
        <v>63</v>
      </c>
      <c r="E118" s="3" t="s">
        <v>26</v>
      </c>
      <c r="F118" s="3" t="s">
        <v>66</v>
      </c>
      <c r="G118" s="3">
        <v>9</v>
      </c>
      <c r="H118" s="6">
        <v>950</v>
      </c>
      <c r="I118" s="7">
        <v>0.1</v>
      </c>
      <c r="J118" s="6">
        <v>7695</v>
      </c>
      <c r="K118" s="6">
        <v>5130</v>
      </c>
      <c r="L118" s="6">
        <v>2565</v>
      </c>
      <c r="M118" s="3" t="s">
        <v>28</v>
      </c>
      <c r="N118" s="3" t="s">
        <v>45</v>
      </c>
      <c r="O118" s="3" t="s">
        <v>49</v>
      </c>
      <c r="P118">
        <f t="shared" si="5"/>
        <v>0.33333333333333331</v>
      </c>
      <c r="Q118" t="str">
        <f t="shared" si="3"/>
        <v>Good Profit</v>
      </c>
      <c r="R118" t="str">
        <f t="shared" si="4"/>
        <v>High Value</v>
      </c>
    </row>
    <row r="119" spans="1:18" x14ac:dyDescent="0.25">
      <c r="A119" t="s">
        <v>189</v>
      </c>
      <c r="B119" s="8">
        <v>45897</v>
      </c>
      <c r="C119" t="s">
        <v>38</v>
      </c>
      <c r="D119" t="s">
        <v>90</v>
      </c>
      <c r="E119" t="s">
        <v>52</v>
      </c>
      <c r="F119" t="s">
        <v>53</v>
      </c>
      <c r="G119">
        <v>6</v>
      </c>
      <c r="H119" s="1">
        <v>90</v>
      </c>
      <c r="I119" s="9">
        <v>0</v>
      </c>
      <c r="J119" s="1">
        <v>540</v>
      </c>
      <c r="K119" s="1">
        <v>240</v>
      </c>
      <c r="L119" s="1">
        <v>300</v>
      </c>
      <c r="M119" t="s">
        <v>20</v>
      </c>
      <c r="N119" t="s">
        <v>92</v>
      </c>
      <c r="O119" t="s">
        <v>49</v>
      </c>
      <c r="P119">
        <f t="shared" si="5"/>
        <v>0.55555555555555558</v>
      </c>
      <c r="Q119" t="str">
        <f t="shared" si="3"/>
        <v>Low Profit</v>
      </c>
      <c r="R119" t="str">
        <f t="shared" si="4"/>
        <v>Normal</v>
      </c>
    </row>
    <row r="120" spans="1:18" x14ac:dyDescent="0.25">
      <c r="A120" s="3" t="s">
        <v>190</v>
      </c>
      <c r="B120" s="5">
        <v>45932</v>
      </c>
      <c r="C120" s="3" t="s">
        <v>24</v>
      </c>
      <c r="D120" s="3" t="s">
        <v>51</v>
      </c>
      <c r="E120" s="3" t="s">
        <v>26</v>
      </c>
      <c r="F120" s="3" t="s">
        <v>33</v>
      </c>
      <c r="G120" s="3">
        <v>1</v>
      </c>
      <c r="H120" s="6">
        <v>550</v>
      </c>
      <c r="I120" s="7">
        <v>0.1</v>
      </c>
      <c r="J120" s="6">
        <v>495</v>
      </c>
      <c r="K120" s="6">
        <v>300</v>
      </c>
      <c r="L120" s="6">
        <v>195</v>
      </c>
      <c r="M120" s="3" t="s">
        <v>20</v>
      </c>
      <c r="N120" s="3" t="s">
        <v>57</v>
      </c>
      <c r="O120" s="3" t="s">
        <v>36</v>
      </c>
      <c r="P120">
        <f t="shared" si="5"/>
        <v>0.39393939393939392</v>
      </c>
      <c r="Q120" t="str">
        <f t="shared" si="3"/>
        <v>Low Profit</v>
      </c>
      <c r="R120" t="str">
        <f t="shared" si="4"/>
        <v>Normal</v>
      </c>
    </row>
    <row r="121" spans="1:18" x14ac:dyDescent="0.25">
      <c r="A121" t="s">
        <v>191</v>
      </c>
      <c r="B121" s="8">
        <v>45899</v>
      </c>
      <c r="C121" t="s">
        <v>38</v>
      </c>
      <c r="D121" t="s">
        <v>90</v>
      </c>
      <c r="E121" t="s">
        <v>18</v>
      </c>
      <c r="F121" t="s">
        <v>19</v>
      </c>
      <c r="G121">
        <v>2</v>
      </c>
      <c r="H121" s="1">
        <v>5400</v>
      </c>
      <c r="I121" s="9">
        <v>0.05</v>
      </c>
      <c r="J121" s="1">
        <v>10260</v>
      </c>
      <c r="K121" s="1">
        <v>7200</v>
      </c>
      <c r="L121" s="1">
        <v>3060</v>
      </c>
      <c r="M121" t="s">
        <v>20</v>
      </c>
      <c r="N121" t="s">
        <v>41</v>
      </c>
      <c r="O121" t="s">
        <v>22</v>
      </c>
      <c r="P121">
        <f t="shared" si="5"/>
        <v>0.2982456140350877</v>
      </c>
      <c r="Q121" t="str">
        <f t="shared" si="3"/>
        <v>Good Profit</v>
      </c>
      <c r="R121" t="str">
        <f t="shared" si="4"/>
        <v>High Value</v>
      </c>
    </row>
    <row r="122" spans="1:18" x14ac:dyDescent="0.25">
      <c r="A122" s="3" t="s">
        <v>192</v>
      </c>
      <c r="B122" s="5">
        <v>45990</v>
      </c>
      <c r="C122" s="3" t="s">
        <v>31</v>
      </c>
      <c r="D122" s="3" t="s">
        <v>79</v>
      </c>
      <c r="E122" s="3" t="s">
        <v>18</v>
      </c>
      <c r="F122" s="3" t="s">
        <v>44</v>
      </c>
      <c r="G122" s="3">
        <v>12</v>
      </c>
      <c r="H122" s="6">
        <v>950</v>
      </c>
      <c r="I122" s="7">
        <v>0.1</v>
      </c>
      <c r="J122" s="6">
        <v>10260</v>
      </c>
      <c r="K122" s="6">
        <v>6240</v>
      </c>
      <c r="L122" s="6">
        <v>4020</v>
      </c>
      <c r="M122" s="3" t="s">
        <v>61</v>
      </c>
      <c r="N122" s="3" t="s">
        <v>21</v>
      </c>
      <c r="O122" s="3" t="s">
        <v>49</v>
      </c>
      <c r="P122">
        <f t="shared" si="5"/>
        <v>0.391812865497076</v>
      </c>
      <c r="Q122" t="str">
        <f t="shared" si="3"/>
        <v>Good Profit</v>
      </c>
      <c r="R122" t="str">
        <f t="shared" si="4"/>
        <v>High Value</v>
      </c>
    </row>
    <row r="123" spans="1:18" x14ac:dyDescent="0.25">
      <c r="A123" t="s">
        <v>193</v>
      </c>
      <c r="B123" s="8">
        <v>45778</v>
      </c>
      <c r="C123" t="s">
        <v>16</v>
      </c>
      <c r="D123" t="s">
        <v>17</v>
      </c>
      <c r="E123" t="s">
        <v>52</v>
      </c>
      <c r="F123" t="s">
        <v>97</v>
      </c>
      <c r="G123">
        <v>2</v>
      </c>
      <c r="H123" s="1">
        <v>380</v>
      </c>
      <c r="I123" s="9">
        <v>0</v>
      </c>
      <c r="J123" s="1">
        <v>760</v>
      </c>
      <c r="K123" s="1">
        <v>500</v>
      </c>
      <c r="L123" s="1">
        <v>260</v>
      </c>
      <c r="M123" t="s">
        <v>28</v>
      </c>
      <c r="N123" t="s">
        <v>92</v>
      </c>
      <c r="O123" t="s">
        <v>36</v>
      </c>
      <c r="P123">
        <f t="shared" si="5"/>
        <v>0.34210526315789475</v>
      </c>
      <c r="Q123" t="str">
        <f t="shared" si="3"/>
        <v>Low Profit</v>
      </c>
      <c r="R123" t="str">
        <f t="shared" si="4"/>
        <v>Normal</v>
      </c>
    </row>
    <row r="124" spans="1:18" x14ac:dyDescent="0.25">
      <c r="A124" s="3" t="s">
        <v>194</v>
      </c>
      <c r="B124" s="5">
        <v>45872</v>
      </c>
      <c r="C124" s="3" t="s">
        <v>24</v>
      </c>
      <c r="D124" s="3" t="s">
        <v>51</v>
      </c>
      <c r="E124" s="3" t="s">
        <v>18</v>
      </c>
      <c r="F124" s="3" t="s">
        <v>56</v>
      </c>
      <c r="G124" s="3">
        <v>12</v>
      </c>
      <c r="H124" s="6">
        <v>8900</v>
      </c>
      <c r="I124" s="7">
        <v>0.2</v>
      </c>
      <c r="J124" s="6">
        <v>85440</v>
      </c>
      <c r="K124" s="6">
        <v>76800</v>
      </c>
      <c r="L124" s="6">
        <v>8640</v>
      </c>
      <c r="M124" s="3" t="s">
        <v>28</v>
      </c>
      <c r="N124" s="3" t="s">
        <v>92</v>
      </c>
      <c r="O124" s="3" t="s">
        <v>36</v>
      </c>
      <c r="P124">
        <f t="shared" si="5"/>
        <v>0.10112359550561797</v>
      </c>
      <c r="Q124" t="str">
        <f t="shared" si="3"/>
        <v>Good Profit</v>
      </c>
      <c r="R124" t="str">
        <f t="shared" si="4"/>
        <v>High Value</v>
      </c>
    </row>
    <row r="125" spans="1:18" x14ac:dyDescent="0.25">
      <c r="A125" t="s">
        <v>195</v>
      </c>
      <c r="B125" s="8">
        <v>46011</v>
      </c>
      <c r="C125" t="s">
        <v>16</v>
      </c>
      <c r="D125" t="s">
        <v>104</v>
      </c>
      <c r="E125" t="s">
        <v>18</v>
      </c>
      <c r="F125" t="s">
        <v>44</v>
      </c>
      <c r="G125">
        <v>5</v>
      </c>
      <c r="H125" s="1">
        <v>950</v>
      </c>
      <c r="I125" s="9">
        <v>0</v>
      </c>
      <c r="J125" s="1">
        <v>4750</v>
      </c>
      <c r="K125" s="1">
        <v>2600</v>
      </c>
      <c r="L125" s="1">
        <v>2150</v>
      </c>
      <c r="M125" t="s">
        <v>54</v>
      </c>
      <c r="N125" t="s">
        <v>48</v>
      </c>
      <c r="O125" t="s">
        <v>36</v>
      </c>
      <c r="P125">
        <f t="shared" si="5"/>
        <v>0.45263157894736844</v>
      </c>
      <c r="Q125" t="str">
        <f t="shared" si="3"/>
        <v>Good Profit</v>
      </c>
      <c r="R125" t="str">
        <f t="shared" si="4"/>
        <v>Normal</v>
      </c>
    </row>
    <row r="126" spans="1:18" x14ac:dyDescent="0.25">
      <c r="A126" s="3" t="s">
        <v>196</v>
      </c>
      <c r="B126" s="5">
        <v>45936</v>
      </c>
      <c r="C126" s="3" t="s">
        <v>24</v>
      </c>
      <c r="D126" s="3" t="s">
        <v>63</v>
      </c>
      <c r="E126" s="3" t="s">
        <v>52</v>
      </c>
      <c r="F126" s="3" t="s">
        <v>88</v>
      </c>
      <c r="G126" s="3">
        <v>11</v>
      </c>
      <c r="H126" s="6">
        <v>250</v>
      </c>
      <c r="I126" s="7">
        <v>0.1</v>
      </c>
      <c r="J126" s="6">
        <v>2475</v>
      </c>
      <c r="K126" s="6">
        <v>1430</v>
      </c>
      <c r="L126" s="6">
        <v>1045</v>
      </c>
      <c r="M126" s="3" t="s">
        <v>54</v>
      </c>
      <c r="N126" s="3" t="s">
        <v>29</v>
      </c>
      <c r="O126" s="3" t="s">
        <v>36</v>
      </c>
      <c r="P126">
        <f t="shared" si="5"/>
        <v>0.42222222222222222</v>
      </c>
      <c r="Q126" t="str">
        <f t="shared" si="3"/>
        <v>Good Profit</v>
      </c>
      <c r="R126" t="str">
        <f t="shared" si="4"/>
        <v>Normal</v>
      </c>
    </row>
    <row r="127" spans="1:18" x14ac:dyDescent="0.25">
      <c r="A127" t="s">
        <v>197</v>
      </c>
      <c r="B127" s="8">
        <v>45986</v>
      </c>
      <c r="C127" t="s">
        <v>38</v>
      </c>
      <c r="D127" t="s">
        <v>39</v>
      </c>
      <c r="E127" t="s">
        <v>26</v>
      </c>
      <c r="F127" t="s">
        <v>33</v>
      </c>
      <c r="G127">
        <v>2</v>
      </c>
      <c r="H127" s="1">
        <v>550</v>
      </c>
      <c r="I127" s="9">
        <v>0.05</v>
      </c>
      <c r="J127" s="1">
        <v>1045</v>
      </c>
      <c r="K127" s="1">
        <v>600</v>
      </c>
      <c r="L127" s="1">
        <v>445</v>
      </c>
      <c r="M127" t="s">
        <v>28</v>
      </c>
      <c r="N127" t="s">
        <v>29</v>
      </c>
      <c r="O127" t="s">
        <v>49</v>
      </c>
      <c r="P127">
        <f t="shared" si="5"/>
        <v>0.42583732057416268</v>
      </c>
      <c r="Q127" t="str">
        <f t="shared" si="3"/>
        <v>Low Profit</v>
      </c>
      <c r="R127" t="str">
        <f t="shared" si="4"/>
        <v>Normal</v>
      </c>
    </row>
    <row r="128" spans="1:18" x14ac:dyDescent="0.25">
      <c r="A128" s="3" t="s">
        <v>198</v>
      </c>
      <c r="B128" s="5">
        <v>45941</v>
      </c>
      <c r="C128" s="3" t="s">
        <v>38</v>
      </c>
      <c r="D128" s="3" t="s">
        <v>39</v>
      </c>
      <c r="E128" s="3" t="s">
        <v>26</v>
      </c>
      <c r="F128" s="3" t="s">
        <v>94</v>
      </c>
      <c r="G128" s="3">
        <v>4</v>
      </c>
      <c r="H128" s="6">
        <v>9500</v>
      </c>
      <c r="I128" s="7">
        <v>0</v>
      </c>
      <c r="J128" s="6">
        <v>38000</v>
      </c>
      <c r="K128" s="6">
        <v>28800</v>
      </c>
      <c r="L128" s="6">
        <v>9200</v>
      </c>
      <c r="M128" s="3" t="s">
        <v>34</v>
      </c>
      <c r="N128" s="3" t="s">
        <v>48</v>
      </c>
      <c r="O128" s="3" t="s">
        <v>49</v>
      </c>
      <c r="P128">
        <f t="shared" si="5"/>
        <v>0.24210526315789474</v>
      </c>
      <c r="Q128" t="str">
        <f t="shared" si="3"/>
        <v>Good Profit</v>
      </c>
      <c r="R128" t="str">
        <f t="shared" si="4"/>
        <v>High Value</v>
      </c>
    </row>
    <row r="129" spans="1:18" x14ac:dyDescent="0.25">
      <c r="A129" t="s">
        <v>199</v>
      </c>
      <c r="B129" s="8">
        <v>45724</v>
      </c>
      <c r="C129" t="s">
        <v>38</v>
      </c>
      <c r="D129" t="s">
        <v>39</v>
      </c>
      <c r="E129" t="s">
        <v>18</v>
      </c>
      <c r="F129" t="s">
        <v>47</v>
      </c>
      <c r="G129">
        <v>5</v>
      </c>
      <c r="H129" s="1">
        <v>6200</v>
      </c>
      <c r="I129" s="9">
        <v>0.05</v>
      </c>
      <c r="J129" s="1">
        <v>29450</v>
      </c>
      <c r="K129" s="1">
        <v>21500</v>
      </c>
      <c r="L129" s="1">
        <v>7950</v>
      </c>
      <c r="M129" t="s">
        <v>28</v>
      </c>
      <c r="N129" t="s">
        <v>45</v>
      </c>
      <c r="O129" t="s">
        <v>49</v>
      </c>
      <c r="P129">
        <f t="shared" si="5"/>
        <v>0.2699490662139219</v>
      </c>
      <c r="Q129" t="str">
        <f t="shared" si="3"/>
        <v>Good Profit</v>
      </c>
      <c r="R129" t="str">
        <f t="shared" si="4"/>
        <v>High Value</v>
      </c>
    </row>
    <row r="130" spans="1:18" x14ac:dyDescent="0.25">
      <c r="A130" s="3" t="s">
        <v>200</v>
      </c>
      <c r="B130" s="5">
        <v>45959</v>
      </c>
      <c r="C130" s="3" t="s">
        <v>16</v>
      </c>
      <c r="D130" s="3" t="s">
        <v>17</v>
      </c>
      <c r="E130" s="3" t="s">
        <v>26</v>
      </c>
      <c r="F130" s="3" t="s">
        <v>27</v>
      </c>
      <c r="G130" s="3">
        <v>6</v>
      </c>
      <c r="H130" s="6">
        <v>650</v>
      </c>
      <c r="I130" s="7">
        <v>0.05</v>
      </c>
      <c r="J130" s="6">
        <v>3705</v>
      </c>
      <c r="K130" s="6">
        <v>2280</v>
      </c>
      <c r="L130" s="6">
        <v>1425</v>
      </c>
      <c r="M130" s="3" t="s">
        <v>54</v>
      </c>
      <c r="N130" s="3" t="s">
        <v>29</v>
      </c>
      <c r="O130" s="3" t="s">
        <v>49</v>
      </c>
      <c r="P130">
        <f t="shared" si="5"/>
        <v>0.38461538461538464</v>
      </c>
      <c r="Q130" t="str">
        <f t="shared" ref="Q130:Q193" si="6">IF(L130&lt;0,"Loss",IF(L130&lt;500,"Low Profit","Good Profit"))</f>
        <v>Good Profit</v>
      </c>
      <c r="R130" t="str">
        <f t="shared" ref="R130:R193" si="7">IF(AND(J130&gt;5000,L130&gt;1000),"High Value","Normal")</f>
        <v>Normal</v>
      </c>
    </row>
    <row r="131" spans="1:18" x14ac:dyDescent="0.25">
      <c r="A131" t="s">
        <v>201</v>
      </c>
      <c r="B131" s="8">
        <v>45716</v>
      </c>
      <c r="C131" t="s">
        <v>38</v>
      </c>
      <c r="D131" t="s">
        <v>43</v>
      </c>
      <c r="E131" t="s">
        <v>26</v>
      </c>
      <c r="F131" t="s">
        <v>80</v>
      </c>
      <c r="G131">
        <v>7</v>
      </c>
      <c r="H131" s="1">
        <v>1200</v>
      </c>
      <c r="I131" s="9">
        <v>0.2</v>
      </c>
      <c r="J131" s="1">
        <v>6720</v>
      </c>
      <c r="K131" s="1">
        <v>4900</v>
      </c>
      <c r="L131" s="1">
        <v>1820</v>
      </c>
      <c r="M131" t="s">
        <v>20</v>
      </c>
      <c r="N131" t="s">
        <v>57</v>
      </c>
      <c r="O131" t="s">
        <v>36</v>
      </c>
      <c r="P131">
        <f t="shared" ref="P131:P194" si="8">IFERROR(L131/J131,0)</f>
        <v>0.27083333333333331</v>
      </c>
      <c r="Q131" t="str">
        <f t="shared" si="6"/>
        <v>Good Profit</v>
      </c>
      <c r="R131" t="str">
        <f t="shared" si="7"/>
        <v>High Value</v>
      </c>
    </row>
    <row r="132" spans="1:18" x14ac:dyDescent="0.25">
      <c r="A132" s="3" t="s">
        <v>202</v>
      </c>
      <c r="B132" s="5">
        <v>45680</v>
      </c>
      <c r="C132" s="3" t="s">
        <v>38</v>
      </c>
      <c r="D132" s="3" t="s">
        <v>43</v>
      </c>
      <c r="E132" s="3" t="s">
        <v>52</v>
      </c>
      <c r="F132" s="3" t="s">
        <v>108</v>
      </c>
      <c r="G132" s="3">
        <v>4</v>
      </c>
      <c r="H132" s="6">
        <v>180</v>
      </c>
      <c r="I132" s="7">
        <v>0.2</v>
      </c>
      <c r="J132" s="6">
        <v>576</v>
      </c>
      <c r="K132" s="6">
        <v>360</v>
      </c>
      <c r="L132" s="6">
        <v>216</v>
      </c>
      <c r="M132" s="3" t="s">
        <v>28</v>
      </c>
      <c r="N132" s="3" t="s">
        <v>45</v>
      </c>
      <c r="O132" s="3" t="s">
        <v>36</v>
      </c>
      <c r="P132">
        <f t="shared" si="8"/>
        <v>0.375</v>
      </c>
      <c r="Q132" t="str">
        <f t="shared" si="6"/>
        <v>Low Profit</v>
      </c>
      <c r="R132" t="str">
        <f t="shared" si="7"/>
        <v>Normal</v>
      </c>
    </row>
    <row r="133" spans="1:18" x14ac:dyDescent="0.25">
      <c r="A133" t="s">
        <v>203</v>
      </c>
      <c r="B133" s="8">
        <v>45909</v>
      </c>
      <c r="C133" t="s">
        <v>16</v>
      </c>
      <c r="D133" t="s">
        <v>17</v>
      </c>
      <c r="E133" t="s">
        <v>52</v>
      </c>
      <c r="F133" t="s">
        <v>97</v>
      </c>
      <c r="G133">
        <v>7</v>
      </c>
      <c r="H133" s="1">
        <v>380</v>
      </c>
      <c r="I133" s="9">
        <v>0</v>
      </c>
      <c r="J133" s="1">
        <v>2660</v>
      </c>
      <c r="K133" s="1">
        <v>1750</v>
      </c>
      <c r="L133" s="1">
        <v>910</v>
      </c>
      <c r="M133" t="s">
        <v>61</v>
      </c>
      <c r="N133" t="s">
        <v>21</v>
      </c>
      <c r="O133" t="s">
        <v>49</v>
      </c>
      <c r="P133">
        <f t="shared" si="8"/>
        <v>0.34210526315789475</v>
      </c>
      <c r="Q133" t="str">
        <f t="shared" si="6"/>
        <v>Good Profit</v>
      </c>
      <c r="R133" t="str">
        <f t="shared" si="7"/>
        <v>Normal</v>
      </c>
    </row>
    <row r="134" spans="1:18" x14ac:dyDescent="0.25">
      <c r="A134" s="3" t="s">
        <v>204</v>
      </c>
      <c r="B134" s="5">
        <v>45982</v>
      </c>
      <c r="C134" s="3" t="s">
        <v>38</v>
      </c>
      <c r="D134" s="3" t="s">
        <v>39</v>
      </c>
      <c r="E134" s="3" t="s">
        <v>26</v>
      </c>
      <c r="F134" s="3" t="s">
        <v>66</v>
      </c>
      <c r="G134" s="3">
        <v>5</v>
      </c>
      <c r="H134" s="6">
        <v>950</v>
      </c>
      <c r="I134" s="7">
        <v>0.2</v>
      </c>
      <c r="J134" s="6">
        <v>3800</v>
      </c>
      <c r="K134" s="6">
        <v>2850</v>
      </c>
      <c r="L134" s="6">
        <v>950</v>
      </c>
      <c r="M134" s="3" t="s">
        <v>28</v>
      </c>
      <c r="N134" s="3" t="s">
        <v>41</v>
      </c>
      <c r="O134" s="3" t="s">
        <v>36</v>
      </c>
      <c r="P134">
        <f t="shared" si="8"/>
        <v>0.25</v>
      </c>
      <c r="Q134" t="str">
        <f t="shared" si="6"/>
        <v>Good Profit</v>
      </c>
      <c r="R134" t="str">
        <f t="shared" si="7"/>
        <v>Normal</v>
      </c>
    </row>
    <row r="135" spans="1:18" x14ac:dyDescent="0.25">
      <c r="A135" t="s">
        <v>205</v>
      </c>
      <c r="B135" s="8">
        <v>46017</v>
      </c>
      <c r="C135" t="s">
        <v>38</v>
      </c>
      <c r="D135" t="s">
        <v>90</v>
      </c>
      <c r="E135" t="s">
        <v>18</v>
      </c>
      <c r="F135" t="s">
        <v>69</v>
      </c>
      <c r="G135">
        <v>7</v>
      </c>
      <c r="H135" s="1">
        <v>1600</v>
      </c>
      <c r="I135" s="9">
        <v>0</v>
      </c>
      <c r="J135" s="1">
        <v>11200</v>
      </c>
      <c r="K135" s="1">
        <v>6650</v>
      </c>
      <c r="L135" s="1">
        <v>4550</v>
      </c>
      <c r="M135" t="s">
        <v>20</v>
      </c>
      <c r="N135" t="s">
        <v>48</v>
      </c>
      <c r="O135" t="s">
        <v>36</v>
      </c>
      <c r="P135">
        <f t="shared" si="8"/>
        <v>0.40625</v>
      </c>
      <c r="Q135" t="str">
        <f t="shared" si="6"/>
        <v>Good Profit</v>
      </c>
      <c r="R135" t="str">
        <f t="shared" si="7"/>
        <v>High Value</v>
      </c>
    </row>
    <row r="136" spans="1:18" x14ac:dyDescent="0.25">
      <c r="A136" s="3" t="s">
        <v>206</v>
      </c>
      <c r="B136" s="5">
        <v>45870</v>
      </c>
      <c r="C136" s="3" t="s">
        <v>24</v>
      </c>
      <c r="D136" s="3" t="s">
        <v>63</v>
      </c>
      <c r="E136" s="3" t="s">
        <v>52</v>
      </c>
      <c r="F136" s="3" t="s">
        <v>73</v>
      </c>
      <c r="G136" s="3">
        <v>8</v>
      </c>
      <c r="H136" s="6">
        <v>450</v>
      </c>
      <c r="I136" s="7">
        <v>0.15</v>
      </c>
      <c r="J136" s="6">
        <v>3060</v>
      </c>
      <c r="K136" s="6">
        <v>1920</v>
      </c>
      <c r="L136" s="6">
        <v>1140</v>
      </c>
      <c r="M136" s="3" t="s">
        <v>20</v>
      </c>
      <c r="N136" s="3" t="s">
        <v>41</v>
      </c>
      <c r="O136" s="3" t="s">
        <v>36</v>
      </c>
      <c r="P136">
        <f t="shared" si="8"/>
        <v>0.37254901960784315</v>
      </c>
      <c r="Q136" t="str">
        <f t="shared" si="6"/>
        <v>Good Profit</v>
      </c>
      <c r="R136" t="str">
        <f t="shared" si="7"/>
        <v>Normal</v>
      </c>
    </row>
    <row r="137" spans="1:18" x14ac:dyDescent="0.25">
      <c r="A137" t="s">
        <v>207</v>
      </c>
      <c r="B137" s="8">
        <v>45692</v>
      </c>
      <c r="C137" t="s">
        <v>38</v>
      </c>
      <c r="D137" t="s">
        <v>170</v>
      </c>
      <c r="E137" t="s">
        <v>52</v>
      </c>
      <c r="F137" t="s">
        <v>64</v>
      </c>
      <c r="G137">
        <v>11</v>
      </c>
      <c r="H137" s="1">
        <v>120</v>
      </c>
      <c r="I137" s="9">
        <v>0.15</v>
      </c>
      <c r="J137" s="1">
        <v>1122</v>
      </c>
      <c r="K137" s="1">
        <v>605</v>
      </c>
      <c r="L137" s="1">
        <v>517</v>
      </c>
      <c r="M137" t="s">
        <v>20</v>
      </c>
      <c r="N137" t="s">
        <v>21</v>
      </c>
      <c r="O137" t="s">
        <v>49</v>
      </c>
      <c r="P137">
        <f t="shared" si="8"/>
        <v>0.46078431372549017</v>
      </c>
      <c r="Q137" t="str">
        <f t="shared" si="6"/>
        <v>Good Profit</v>
      </c>
      <c r="R137" t="str">
        <f t="shared" si="7"/>
        <v>Normal</v>
      </c>
    </row>
    <row r="138" spans="1:18" x14ac:dyDescent="0.25">
      <c r="A138" s="3" t="s">
        <v>208</v>
      </c>
      <c r="B138" s="5">
        <v>45942</v>
      </c>
      <c r="C138" s="3" t="s">
        <v>24</v>
      </c>
      <c r="D138" s="3" t="s">
        <v>25</v>
      </c>
      <c r="E138" s="3" t="s">
        <v>18</v>
      </c>
      <c r="F138" s="3" t="s">
        <v>56</v>
      </c>
      <c r="G138" s="3">
        <v>6</v>
      </c>
      <c r="H138" s="6">
        <v>8900</v>
      </c>
      <c r="I138" s="7">
        <v>0.05</v>
      </c>
      <c r="J138" s="6">
        <v>50730</v>
      </c>
      <c r="K138" s="6">
        <v>38400</v>
      </c>
      <c r="L138" s="6">
        <v>12330</v>
      </c>
      <c r="M138" s="3" t="s">
        <v>20</v>
      </c>
      <c r="N138" s="3" t="s">
        <v>41</v>
      </c>
      <c r="O138" s="3" t="s">
        <v>22</v>
      </c>
      <c r="P138">
        <f t="shared" si="8"/>
        <v>0.24305144884683619</v>
      </c>
      <c r="Q138" t="str">
        <f t="shared" si="6"/>
        <v>Good Profit</v>
      </c>
      <c r="R138" t="str">
        <f t="shared" si="7"/>
        <v>High Value</v>
      </c>
    </row>
    <row r="139" spans="1:18" x14ac:dyDescent="0.25">
      <c r="A139" t="s">
        <v>209</v>
      </c>
      <c r="B139" s="8">
        <v>45805</v>
      </c>
      <c r="C139" t="s">
        <v>16</v>
      </c>
      <c r="D139" t="s">
        <v>104</v>
      </c>
      <c r="E139" t="s">
        <v>52</v>
      </c>
      <c r="F139" t="s">
        <v>53</v>
      </c>
      <c r="G139">
        <v>7</v>
      </c>
      <c r="H139" s="1">
        <v>90</v>
      </c>
      <c r="I139" s="9">
        <v>0</v>
      </c>
      <c r="J139" s="1">
        <v>630</v>
      </c>
      <c r="K139" s="1">
        <v>280</v>
      </c>
      <c r="L139" s="1">
        <v>350</v>
      </c>
      <c r="M139" t="s">
        <v>28</v>
      </c>
      <c r="N139" t="s">
        <v>45</v>
      </c>
      <c r="O139" t="s">
        <v>36</v>
      </c>
      <c r="P139">
        <f t="shared" si="8"/>
        <v>0.55555555555555558</v>
      </c>
      <c r="Q139" t="str">
        <f t="shared" si="6"/>
        <v>Low Profit</v>
      </c>
      <c r="R139" t="str">
        <f t="shared" si="7"/>
        <v>Normal</v>
      </c>
    </row>
    <row r="140" spans="1:18" x14ac:dyDescent="0.25">
      <c r="A140" s="3" t="s">
        <v>210</v>
      </c>
      <c r="B140" s="5">
        <v>45713</v>
      </c>
      <c r="C140" s="3" t="s">
        <v>16</v>
      </c>
      <c r="D140" s="3" t="s">
        <v>60</v>
      </c>
      <c r="E140" s="3" t="s">
        <v>26</v>
      </c>
      <c r="F140" s="3" t="s">
        <v>80</v>
      </c>
      <c r="G140" s="3">
        <v>8</v>
      </c>
      <c r="H140" s="6">
        <v>1200</v>
      </c>
      <c r="I140" s="7">
        <v>0.05</v>
      </c>
      <c r="J140" s="6">
        <v>9120</v>
      </c>
      <c r="K140" s="6">
        <v>5600</v>
      </c>
      <c r="L140" s="6">
        <v>3520</v>
      </c>
      <c r="M140" s="3" t="s">
        <v>54</v>
      </c>
      <c r="N140" s="3" t="s">
        <v>41</v>
      </c>
      <c r="O140" s="3" t="s">
        <v>49</v>
      </c>
      <c r="P140">
        <f t="shared" si="8"/>
        <v>0.38596491228070173</v>
      </c>
      <c r="Q140" t="str">
        <f t="shared" si="6"/>
        <v>Good Profit</v>
      </c>
      <c r="R140" t="str">
        <f t="shared" si="7"/>
        <v>High Value</v>
      </c>
    </row>
    <row r="141" spans="1:18" x14ac:dyDescent="0.25">
      <c r="A141" t="s">
        <v>211</v>
      </c>
      <c r="B141" s="8">
        <v>46003</v>
      </c>
      <c r="C141" t="s">
        <v>38</v>
      </c>
      <c r="D141" t="s">
        <v>39</v>
      </c>
      <c r="E141" t="s">
        <v>52</v>
      </c>
      <c r="F141" t="s">
        <v>108</v>
      </c>
      <c r="G141">
        <v>10</v>
      </c>
      <c r="H141" s="1">
        <v>180</v>
      </c>
      <c r="I141" s="9">
        <v>0.2</v>
      </c>
      <c r="J141" s="1">
        <v>1440</v>
      </c>
      <c r="K141" s="1">
        <v>900</v>
      </c>
      <c r="L141" s="1">
        <v>540</v>
      </c>
      <c r="M141" t="s">
        <v>28</v>
      </c>
      <c r="N141" t="s">
        <v>29</v>
      </c>
      <c r="O141" t="s">
        <v>22</v>
      </c>
      <c r="P141">
        <f t="shared" si="8"/>
        <v>0.375</v>
      </c>
      <c r="Q141" t="str">
        <f t="shared" si="6"/>
        <v>Good Profit</v>
      </c>
      <c r="R141" t="str">
        <f t="shared" si="7"/>
        <v>Normal</v>
      </c>
    </row>
    <row r="142" spans="1:18" x14ac:dyDescent="0.25">
      <c r="A142" s="3" t="s">
        <v>212</v>
      </c>
      <c r="B142" s="5">
        <v>45831</v>
      </c>
      <c r="C142" s="3" t="s">
        <v>38</v>
      </c>
      <c r="D142" s="3" t="s">
        <v>43</v>
      </c>
      <c r="E142" s="3" t="s">
        <v>26</v>
      </c>
      <c r="F142" s="3" t="s">
        <v>40</v>
      </c>
      <c r="G142" s="3">
        <v>12</v>
      </c>
      <c r="H142" s="6">
        <v>1800</v>
      </c>
      <c r="I142" s="7">
        <v>0.1</v>
      </c>
      <c r="J142" s="6">
        <v>19440</v>
      </c>
      <c r="K142" s="6">
        <v>13800</v>
      </c>
      <c r="L142" s="6">
        <v>5640</v>
      </c>
      <c r="M142" s="3" t="s">
        <v>54</v>
      </c>
      <c r="N142" s="3" t="s">
        <v>29</v>
      </c>
      <c r="O142" s="3" t="s">
        <v>49</v>
      </c>
      <c r="P142">
        <f t="shared" si="8"/>
        <v>0.29012345679012347</v>
      </c>
      <c r="Q142" t="str">
        <f t="shared" si="6"/>
        <v>Good Profit</v>
      </c>
      <c r="R142" t="str">
        <f t="shared" si="7"/>
        <v>High Value</v>
      </c>
    </row>
    <row r="143" spans="1:18" x14ac:dyDescent="0.25">
      <c r="A143" t="s">
        <v>213</v>
      </c>
      <c r="B143" s="8">
        <v>45704</v>
      </c>
      <c r="C143" t="s">
        <v>31</v>
      </c>
      <c r="D143" t="s">
        <v>32</v>
      </c>
      <c r="E143" t="s">
        <v>26</v>
      </c>
      <c r="F143" t="s">
        <v>66</v>
      </c>
      <c r="G143">
        <v>12</v>
      </c>
      <c r="H143" s="1">
        <v>950</v>
      </c>
      <c r="I143" s="9">
        <v>0</v>
      </c>
      <c r="J143" s="1">
        <v>11400</v>
      </c>
      <c r="K143" s="1">
        <v>6840</v>
      </c>
      <c r="L143" s="1">
        <v>4560</v>
      </c>
      <c r="M143" t="s">
        <v>28</v>
      </c>
      <c r="N143" t="s">
        <v>48</v>
      </c>
      <c r="O143" t="s">
        <v>36</v>
      </c>
      <c r="P143">
        <f t="shared" si="8"/>
        <v>0.4</v>
      </c>
      <c r="Q143" t="str">
        <f t="shared" si="6"/>
        <v>Good Profit</v>
      </c>
      <c r="R143" t="str">
        <f t="shared" si="7"/>
        <v>High Value</v>
      </c>
    </row>
    <row r="144" spans="1:18" x14ac:dyDescent="0.25">
      <c r="A144" s="3" t="s">
        <v>214</v>
      </c>
      <c r="B144" s="5">
        <v>45824</v>
      </c>
      <c r="C144" s="3" t="s">
        <v>24</v>
      </c>
      <c r="D144" s="3" t="s">
        <v>83</v>
      </c>
      <c r="E144" s="3" t="s">
        <v>52</v>
      </c>
      <c r="F144" s="3" t="s">
        <v>64</v>
      </c>
      <c r="G144" s="3">
        <v>6</v>
      </c>
      <c r="H144" s="6">
        <v>120</v>
      </c>
      <c r="I144" s="7">
        <v>0.1</v>
      </c>
      <c r="J144" s="6">
        <v>648</v>
      </c>
      <c r="K144" s="6">
        <v>330</v>
      </c>
      <c r="L144" s="6">
        <v>318</v>
      </c>
      <c r="M144" s="3" t="s">
        <v>28</v>
      </c>
      <c r="N144" s="3" t="s">
        <v>21</v>
      </c>
      <c r="O144" s="3" t="s">
        <v>49</v>
      </c>
      <c r="P144">
        <f t="shared" si="8"/>
        <v>0.49074074074074076</v>
      </c>
      <c r="Q144" t="str">
        <f t="shared" si="6"/>
        <v>Low Profit</v>
      </c>
      <c r="R144" t="str">
        <f t="shared" si="7"/>
        <v>Normal</v>
      </c>
    </row>
    <row r="145" spans="1:18" x14ac:dyDescent="0.25">
      <c r="A145" t="s">
        <v>215</v>
      </c>
      <c r="B145" s="8">
        <v>45797</v>
      </c>
      <c r="C145" t="s">
        <v>31</v>
      </c>
      <c r="D145" t="s">
        <v>123</v>
      </c>
      <c r="E145" t="s">
        <v>18</v>
      </c>
      <c r="F145" t="s">
        <v>47</v>
      </c>
      <c r="G145">
        <v>11</v>
      </c>
      <c r="H145" s="1">
        <v>6200</v>
      </c>
      <c r="I145" s="9">
        <v>0</v>
      </c>
      <c r="J145" s="1">
        <v>68200</v>
      </c>
      <c r="K145" s="1">
        <v>47300</v>
      </c>
      <c r="L145" s="1">
        <v>20900</v>
      </c>
      <c r="M145" t="s">
        <v>61</v>
      </c>
      <c r="N145" t="s">
        <v>35</v>
      </c>
      <c r="O145" t="s">
        <v>36</v>
      </c>
      <c r="P145">
        <f t="shared" si="8"/>
        <v>0.30645161290322581</v>
      </c>
      <c r="Q145" t="str">
        <f t="shared" si="6"/>
        <v>Good Profit</v>
      </c>
      <c r="R145" t="str">
        <f t="shared" si="7"/>
        <v>High Value</v>
      </c>
    </row>
    <row r="146" spans="1:18" x14ac:dyDescent="0.25">
      <c r="A146" s="3" t="s">
        <v>216</v>
      </c>
      <c r="B146" s="5">
        <v>45834</v>
      </c>
      <c r="C146" s="3" t="s">
        <v>24</v>
      </c>
      <c r="D146" s="3" t="s">
        <v>83</v>
      </c>
      <c r="E146" s="3" t="s">
        <v>52</v>
      </c>
      <c r="F146" s="3" t="s">
        <v>64</v>
      </c>
      <c r="G146" s="3">
        <v>9</v>
      </c>
      <c r="H146" s="6">
        <v>120</v>
      </c>
      <c r="I146" s="7">
        <v>0</v>
      </c>
      <c r="J146" s="6">
        <v>1080</v>
      </c>
      <c r="K146" s="6">
        <v>495</v>
      </c>
      <c r="L146" s="6">
        <v>585</v>
      </c>
      <c r="M146" s="3" t="s">
        <v>61</v>
      </c>
      <c r="N146" s="3" t="s">
        <v>21</v>
      </c>
      <c r="O146" s="3" t="s">
        <v>36</v>
      </c>
      <c r="P146">
        <f t="shared" si="8"/>
        <v>0.54166666666666663</v>
      </c>
      <c r="Q146" t="str">
        <f t="shared" si="6"/>
        <v>Good Profit</v>
      </c>
      <c r="R146" t="str">
        <f t="shared" si="7"/>
        <v>Normal</v>
      </c>
    </row>
    <row r="147" spans="1:18" x14ac:dyDescent="0.25">
      <c r="A147" t="s">
        <v>217</v>
      </c>
      <c r="B147" s="8">
        <v>45686</v>
      </c>
      <c r="C147" t="s">
        <v>24</v>
      </c>
      <c r="D147" t="s">
        <v>51</v>
      </c>
      <c r="E147" t="s">
        <v>26</v>
      </c>
      <c r="F147" t="s">
        <v>66</v>
      </c>
      <c r="G147">
        <v>7</v>
      </c>
      <c r="H147" s="1">
        <v>950</v>
      </c>
      <c r="I147" s="9">
        <v>0.2</v>
      </c>
      <c r="J147" s="1">
        <v>5320</v>
      </c>
      <c r="K147" s="1">
        <v>3990</v>
      </c>
      <c r="L147" s="1">
        <v>1330</v>
      </c>
      <c r="M147" t="s">
        <v>20</v>
      </c>
      <c r="N147" t="s">
        <v>48</v>
      </c>
      <c r="O147" t="s">
        <v>36</v>
      </c>
      <c r="P147">
        <f t="shared" si="8"/>
        <v>0.25</v>
      </c>
      <c r="Q147" t="str">
        <f t="shared" si="6"/>
        <v>Good Profit</v>
      </c>
      <c r="R147" t="str">
        <f t="shared" si="7"/>
        <v>High Value</v>
      </c>
    </row>
    <row r="148" spans="1:18" x14ac:dyDescent="0.25">
      <c r="A148" s="3" t="s">
        <v>218</v>
      </c>
      <c r="B148" s="5">
        <v>45661</v>
      </c>
      <c r="C148" s="3" t="s">
        <v>31</v>
      </c>
      <c r="D148" s="3" t="s">
        <v>123</v>
      </c>
      <c r="E148" s="3" t="s">
        <v>52</v>
      </c>
      <c r="F148" s="3" t="s">
        <v>73</v>
      </c>
      <c r="G148" s="3">
        <v>6</v>
      </c>
      <c r="H148" s="6">
        <v>450</v>
      </c>
      <c r="I148" s="7">
        <v>0</v>
      </c>
      <c r="J148" s="6">
        <v>2700</v>
      </c>
      <c r="K148" s="6">
        <v>1440</v>
      </c>
      <c r="L148" s="6">
        <v>1260</v>
      </c>
      <c r="M148" s="3" t="s">
        <v>61</v>
      </c>
      <c r="N148" s="3" t="s">
        <v>35</v>
      </c>
      <c r="O148" s="3" t="s">
        <v>49</v>
      </c>
      <c r="P148">
        <f t="shared" si="8"/>
        <v>0.46666666666666667</v>
      </c>
      <c r="Q148" t="str">
        <f t="shared" si="6"/>
        <v>Good Profit</v>
      </c>
      <c r="R148" t="str">
        <f t="shared" si="7"/>
        <v>Normal</v>
      </c>
    </row>
    <row r="149" spans="1:18" x14ac:dyDescent="0.25">
      <c r="A149" t="s">
        <v>219</v>
      </c>
      <c r="B149" s="8">
        <v>45944</v>
      </c>
      <c r="C149" t="s">
        <v>31</v>
      </c>
      <c r="D149" t="s">
        <v>32</v>
      </c>
      <c r="E149" t="s">
        <v>18</v>
      </c>
      <c r="F149" t="s">
        <v>56</v>
      </c>
      <c r="G149">
        <v>4</v>
      </c>
      <c r="H149" s="1">
        <v>8900</v>
      </c>
      <c r="I149" s="9">
        <v>0.2</v>
      </c>
      <c r="J149" s="1">
        <v>28480</v>
      </c>
      <c r="K149" s="1">
        <v>25600</v>
      </c>
      <c r="L149" s="1">
        <v>2880</v>
      </c>
      <c r="M149" t="s">
        <v>54</v>
      </c>
      <c r="N149" t="s">
        <v>21</v>
      </c>
      <c r="O149" t="s">
        <v>36</v>
      </c>
      <c r="P149">
        <f t="shared" si="8"/>
        <v>0.10112359550561797</v>
      </c>
      <c r="Q149" t="str">
        <f t="shared" si="6"/>
        <v>Good Profit</v>
      </c>
      <c r="R149" t="str">
        <f t="shared" si="7"/>
        <v>High Value</v>
      </c>
    </row>
    <row r="150" spans="1:18" x14ac:dyDescent="0.25">
      <c r="A150" s="3" t="s">
        <v>220</v>
      </c>
      <c r="B150" s="5">
        <v>45952</v>
      </c>
      <c r="C150" s="3" t="s">
        <v>16</v>
      </c>
      <c r="D150" s="3" t="s">
        <v>104</v>
      </c>
      <c r="E150" s="3" t="s">
        <v>26</v>
      </c>
      <c r="F150" s="3" t="s">
        <v>33</v>
      </c>
      <c r="G150" s="3">
        <v>2</v>
      </c>
      <c r="H150" s="6">
        <v>550</v>
      </c>
      <c r="I150" s="7">
        <v>0.1</v>
      </c>
      <c r="J150" s="6">
        <v>990</v>
      </c>
      <c r="K150" s="6">
        <v>600</v>
      </c>
      <c r="L150" s="6">
        <v>390</v>
      </c>
      <c r="M150" s="3" t="s">
        <v>61</v>
      </c>
      <c r="N150" s="3" t="s">
        <v>35</v>
      </c>
      <c r="O150" s="3" t="s">
        <v>22</v>
      </c>
      <c r="P150">
        <f t="shared" si="8"/>
        <v>0.39393939393939392</v>
      </c>
      <c r="Q150" t="str">
        <f t="shared" si="6"/>
        <v>Low Profit</v>
      </c>
      <c r="R150" t="str">
        <f t="shared" si="7"/>
        <v>Normal</v>
      </c>
    </row>
    <row r="151" spans="1:18" x14ac:dyDescent="0.25">
      <c r="A151" t="s">
        <v>221</v>
      </c>
      <c r="B151" s="8">
        <v>45745</v>
      </c>
      <c r="C151" t="s">
        <v>24</v>
      </c>
      <c r="D151" t="s">
        <v>51</v>
      </c>
      <c r="E151" t="s">
        <v>26</v>
      </c>
      <c r="F151" t="s">
        <v>33</v>
      </c>
      <c r="G151">
        <v>1</v>
      </c>
      <c r="H151" s="1">
        <v>550</v>
      </c>
      <c r="I151" s="9">
        <v>0.1</v>
      </c>
      <c r="J151" s="1">
        <v>495</v>
      </c>
      <c r="K151" s="1">
        <v>300</v>
      </c>
      <c r="L151" s="1">
        <v>195</v>
      </c>
      <c r="M151" t="s">
        <v>28</v>
      </c>
      <c r="N151" t="s">
        <v>57</v>
      </c>
      <c r="O151" t="s">
        <v>22</v>
      </c>
      <c r="P151">
        <f t="shared" si="8"/>
        <v>0.39393939393939392</v>
      </c>
      <c r="Q151" t="str">
        <f t="shared" si="6"/>
        <v>Low Profit</v>
      </c>
      <c r="R151" t="str">
        <f t="shared" si="7"/>
        <v>Normal</v>
      </c>
    </row>
    <row r="152" spans="1:18" x14ac:dyDescent="0.25">
      <c r="A152" s="3" t="s">
        <v>222</v>
      </c>
      <c r="B152" s="5">
        <v>45959</v>
      </c>
      <c r="C152" s="3" t="s">
        <v>38</v>
      </c>
      <c r="D152" s="3" t="s">
        <v>43</v>
      </c>
      <c r="E152" s="3" t="s">
        <v>52</v>
      </c>
      <c r="F152" s="3" t="s">
        <v>88</v>
      </c>
      <c r="G152" s="3">
        <v>4</v>
      </c>
      <c r="H152" s="6">
        <v>250</v>
      </c>
      <c r="I152" s="7">
        <v>0.15</v>
      </c>
      <c r="J152" s="6">
        <v>850</v>
      </c>
      <c r="K152" s="6">
        <v>520</v>
      </c>
      <c r="L152" s="6">
        <v>330</v>
      </c>
      <c r="M152" s="3" t="s">
        <v>61</v>
      </c>
      <c r="N152" s="3" t="s">
        <v>21</v>
      </c>
      <c r="O152" s="3" t="s">
        <v>36</v>
      </c>
      <c r="P152">
        <f t="shared" si="8"/>
        <v>0.38823529411764707</v>
      </c>
      <c r="Q152" t="str">
        <f t="shared" si="6"/>
        <v>Low Profit</v>
      </c>
      <c r="R152" t="str">
        <f t="shared" si="7"/>
        <v>Normal</v>
      </c>
    </row>
    <row r="153" spans="1:18" x14ac:dyDescent="0.25">
      <c r="A153" t="s">
        <v>223</v>
      </c>
      <c r="B153" s="8">
        <v>45919</v>
      </c>
      <c r="C153" t="s">
        <v>38</v>
      </c>
      <c r="D153" t="s">
        <v>170</v>
      </c>
      <c r="E153" t="s">
        <v>26</v>
      </c>
      <c r="F153" t="s">
        <v>40</v>
      </c>
      <c r="G153">
        <v>3</v>
      </c>
      <c r="H153" s="1">
        <v>1800</v>
      </c>
      <c r="I153" s="9">
        <v>0</v>
      </c>
      <c r="J153" s="1">
        <v>5400</v>
      </c>
      <c r="K153" s="1">
        <v>3450</v>
      </c>
      <c r="L153" s="1">
        <v>1950</v>
      </c>
      <c r="M153" t="s">
        <v>20</v>
      </c>
      <c r="N153" t="s">
        <v>48</v>
      </c>
      <c r="O153" t="s">
        <v>36</v>
      </c>
      <c r="P153">
        <f t="shared" si="8"/>
        <v>0.3611111111111111</v>
      </c>
      <c r="Q153" t="str">
        <f t="shared" si="6"/>
        <v>Good Profit</v>
      </c>
      <c r="R153" t="str">
        <f t="shared" si="7"/>
        <v>High Value</v>
      </c>
    </row>
    <row r="154" spans="1:18" x14ac:dyDescent="0.25">
      <c r="A154" s="3" t="s">
        <v>224</v>
      </c>
      <c r="B154" s="5">
        <v>45759</v>
      </c>
      <c r="C154" s="3" t="s">
        <v>38</v>
      </c>
      <c r="D154" s="3" t="s">
        <v>39</v>
      </c>
      <c r="E154" s="3" t="s">
        <v>26</v>
      </c>
      <c r="F154" s="3" t="s">
        <v>27</v>
      </c>
      <c r="G154" s="3">
        <v>3</v>
      </c>
      <c r="H154" s="6">
        <v>650</v>
      </c>
      <c r="I154" s="7">
        <v>0.1</v>
      </c>
      <c r="J154" s="6">
        <v>1755</v>
      </c>
      <c r="K154" s="6">
        <v>1140</v>
      </c>
      <c r="L154" s="6">
        <v>615</v>
      </c>
      <c r="M154" s="3" t="s">
        <v>34</v>
      </c>
      <c r="N154" s="3" t="s">
        <v>92</v>
      </c>
      <c r="O154" s="3" t="s">
        <v>22</v>
      </c>
      <c r="P154">
        <f t="shared" si="8"/>
        <v>0.3504273504273504</v>
      </c>
      <c r="Q154" t="str">
        <f t="shared" si="6"/>
        <v>Good Profit</v>
      </c>
      <c r="R154" t="str">
        <f t="shared" si="7"/>
        <v>Normal</v>
      </c>
    </row>
    <row r="155" spans="1:18" x14ac:dyDescent="0.25">
      <c r="A155" t="s">
        <v>225</v>
      </c>
      <c r="B155" s="8">
        <v>45954</v>
      </c>
      <c r="C155" t="s">
        <v>16</v>
      </c>
      <c r="D155" t="s">
        <v>60</v>
      </c>
      <c r="E155" t="s">
        <v>18</v>
      </c>
      <c r="F155" t="s">
        <v>44</v>
      </c>
      <c r="G155">
        <v>8</v>
      </c>
      <c r="H155" s="1">
        <v>950</v>
      </c>
      <c r="I155" s="9">
        <v>0.2</v>
      </c>
      <c r="J155" s="1">
        <v>6080</v>
      </c>
      <c r="K155" s="1">
        <v>4160</v>
      </c>
      <c r="L155" s="1">
        <v>1920</v>
      </c>
      <c r="M155" t="s">
        <v>61</v>
      </c>
      <c r="N155" t="s">
        <v>41</v>
      </c>
      <c r="O155" t="s">
        <v>22</v>
      </c>
      <c r="P155">
        <f t="shared" si="8"/>
        <v>0.31578947368421051</v>
      </c>
      <c r="Q155" t="str">
        <f t="shared" si="6"/>
        <v>Good Profit</v>
      </c>
      <c r="R155" t="str">
        <f t="shared" si="7"/>
        <v>High Value</v>
      </c>
    </row>
    <row r="156" spans="1:18" x14ac:dyDescent="0.25">
      <c r="A156" s="3" t="s">
        <v>226</v>
      </c>
      <c r="B156" s="5">
        <v>45981</v>
      </c>
      <c r="C156" s="3" t="s">
        <v>38</v>
      </c>
      <c r="D156" s="3" t="s">
        <v>39</v>
      </c>
      <c r="E156" s="3" t="s">
        <v>52</v>
      </c>
      <c r="F156" s="3" t="s">
        <v>88</v>
      </c>
      <c r="G156" s="3">
        <v>8</v>
      </c>
      <c r="H156" s="6">
        <v>250</v>
      </c>
      <c r="I156" s="7">
        <v>0.15</v>
      </c>
      <c r="J156" s="6">
        <v>1700</v>
      </c>
      <c r="K156" s="6">
        <v>1040</v>
      </c>
      <c r="L156" s="6">
        <v>660</v>
      </c>
      <c r="M156" s="3" t="s">
        <v>54</v>
      </c>
      <c r="N156" s="3" t="s">
        <v>45</v>
      </c>
      <c r="O156" s="3" t="s">
        <v>22</v>
      </c>
      <c r="P156">
        <f t="shared" si="8"/>
        <v>0.38823529411764707</v>
      </c>
      <c r="Q156" t="str">
        <f t="shared" si="6"/>
        <v>Good Profit</v>
      </c>
      <c r="R156" t="str">
        <f t="shared" si="7"/>
        <v>Normal</v>
      </c>
    </row>
    <row r="157" spans="1:18" x14ac:dyDescent="0.25">
      <c r="A157" t="s">
        <v>227</v>
      </c>
      <c r="B157" s="8">
        <v>45889</v>
      </c>
      <c r="C157" t="s">
        <v>16</v>
      </c>
      <c r="D157" t="s">
        <v>139</v>
      </c>
      <c r="E157" t="s">
        <v>18</v>
      </c>
      <c r="F157" t="s">
        <v>47</v>
      </c>
      <c r="G157">
        <v>5</v>
      </c>
      <c r="H157" s="1">
        <v>6200</v>
      </c>
      <c r="I157" s="9">
        <v>0.15</v>
      </c>
      <c r="J157" s="1">
        <v>26350</v>
      </c>
      <c r="K157" s="1">
        <v>21500</v>
      </c>
      <c r="L157" s="1">
        <v>4850</v>
      </c>
      <c r="M157" t="s">
        <v>20</v>
      </c>
      <c r="N157" t="s">
        <v>29</v>
      </c>
      <c r="O157" t="s">
        <v>36</v>
      </c>
      <c r="P157">
        <f t="shared" si="8"/>
        <v>0.18406072106261859</v>
      </c>
      <c r="Q157" t="str">
        <f t="shared" si="6"/>
        <v>Good Profit</v>
      </c>
      <c r="R157" t="str">
        <f t="shared" si="7"/>
        <v>High Value</v>
      </c>
    </row>
    <row r="158" spans="1:18" x14ac:dyDescent="0.25">
      <c r="A158" s="3" t="s">
        <v>228</v>
      </c>
      <c r="B158" s="5">
        <v>45917</v>
      </c>
      <c r="C158" s="3" t="s">
        <v>38</v>
      </c>
      <c r="D158" s="3" t="s">
        <v>43</v>
      </c>
      <c r="E158" s="3" t="s">
        <v>18</v>
      </c>
      <c r="F158" s="3" t="s">
        <v>47</v>
      </c>
      <c r="G158" s="3">
        <v>10</v>
      </c>
      <c r="H158" s="6">
        <v>6200</v>
      </c>
      <c r="I158" s="7">
        <v>0.2</v>
      </c>
      <c r="J158" s="6">
        <v>49600</v>
      </c>
      <c r="K158" s="6">
        <v>43000</v>
      </c>
      <c r="L158" s="6">
        <v>6600</v>
      </c>
      <c r="M158" s="3" t="s">
        <v>61</v>
      </c>
      <c r="N158" s="3" t="s">
        <v>57</v>
      </c>
      <c r="O158" s="3" t="s">
        <v>22</v>
      </c>
      <c r="P158">
        <f t="shared" si="8"/>
        <v>0.13306451612903225</v>
      </c>
      <c r="Q158" t="str">
        <f t="shared" si="6"/>
        <v>Good Profit</v>
      </c>
      <c r="R158" t="str">
        <f t="shared" si="7"/>
        <v>High Value</v>
      </c>
    </row>
    <row r="159" spans="1:18" x14ac:dyDescent="0.25">
      <c r="A159" t="s">
        <v>229</v>
      </c>
      <c r="B159" s="8">
        <v>45967</v>
      </c>
      <c r="C159" t="s">
        <v>16</v>
      </c>
      <c r="D159" t="s">
        <v>104</v>
      </c>
      <c r="E159" t="s">
        <v>18</v>
      </c>
      <c r="F159" t="s">
        <v>56</v>
      </c>
      <c r="G159">
        <v>4</v>
      </c>
      <c r="H159" s="1">
        <v>8900</v>
      </c>
      <c r="I159" s="9">
        <v>0.1</v>
      </c>
      <c r="J159" s="1">
        <v>32040</v>
      </c>
      <c r="K159" s="1">
        <v>25600</v>
      </c>
      <c r="L159" s="1">
        <v>6440</v>
      </c>
      <c r="M159" t="s">
        <v>61</v>
      </c>
      <c r="N159" t="s">
        <v>92</v>
      </c>
      <c r="O159" t="s">
        <v>49</v>
      </c>
      <c r="P159">
        <f t="shared" si="8"/>
        <v>0.2009987515605493</v>
      </c>
      <c r="Q159" t="str">
        <f t="shared" si="6"/>
        <v>Good Profit</v>
      </c>
      <c r="R159" t="str">
        <f t="shared" si="7"/>
        <v>High Value</v>
      </c>
    </row>
    <row r="160" spans="1:18" x14ac:dyDescent="0.25">
      <c r="A160" s="3" t="s">
        <v>230</v>
      </c>
      <c r="B160" s="5">
        <v>45988</v>
      </c>
      <c r="C160" s="3" t="s">
        <v>24</v>
      </c>
      <c r="D160" s="3" t="s">
        <v>25</v>
      </c>
      <c r="E160" s="3" t="s">
        <v>52</v>
      </c>
      <c r="F160" s="3" t="s">
        <v>53</v>
      </c>
      <c r="G160" s="3">
        <v>2</v>
      </c>
      <c r="H160" s="6">
        <v>90</v>
      </c>
      <c r="I160" s="7">
        <v>0.2</v>
      </c>
      <c r="J160" s="6">
        <v>144</v>
      </c>
      <c r="K160" s="6">
        <v>80</v>
      </c>
      <c r="L160" s="6">
        <v>64</v>
      </c>
      <c r="M160" s="3" t="s">
        <v>34</v>
      </c>
      <c r="N160" s="3" t="s">
        <v>29</v>
      </c>
      <c r="O160" s="3" t="s">
        <v>49</v>
      </c>
      <c r="P160">
        <f t="shared" si="8"/>
        <v>0.44444444444444442</v>
      </c>
      <c r="Q160" t="str">
        <f t="shared" si="6"/>
        <v>Low Profit</v>
      </c>
      <c r="R160" t="str">
        <f t="shared" si="7"/>
        <v>Normal</v>
      </c>
    </row>
    <row r="161" spans="1:18" x14ac:dyDescent="0.25">
      <c r="A161" t="s">
        <v>231</v>
      </c>
      <c r="B161" s="8">
        <v>45844</v>
      </c>
      <c r="C161" t="s">
        <v>24</v>
      </c>
      <c r="D161" t="s">
        <v>83</v>
      </c>
      <c r="E161" t="s">
        <v>18</v>
      </c>
      <c r="F161" t="s">
        <v>69</v>
      </c>
      <c r="G161">
        <v>10</v>
      </c>
      <c r="H161" s="1">
        <v>1600</v>
      </c>
      <c r="I161" s="9">
        <v>0.05</v>
      </c>
      <c r="J161" s="1">
        <v>15200</v>
      </c>
      <c r="K161" s="1">
        <v>9500</v>
      </c>
      <c r="L161" s="1">
        <v>5700</v>
      </c>
      <c r="M161" t="s">
        <v>54</v>
      </c>
      <c r="N161" t="s">
        <v>45</v>
      </c>
      <c r="O161" t="s">
        <v>36</v>
      </c>
      <c r="P161">
        <f t="shared" si="8"/>
        <v>0.375</v>
      </c>
      <c r="Q161" t="str">
        <f t="shared" si="6"/>
        <v>Good Profit</v>
      </c>
      <c r="R161" t="str">
        <f t="shared" si="7"/>
        <v>High Value</v>
      </c>
    </row>
    <row r="162" spans="1:18" x14ac:dyDescent="0.25">
      <c r="A162" s="3" t="s">
        <v>232</v>
      </c>
      <c r="B162" s="5">
        <v>45691</v>
      </c>
      <c r="C162" s="3" t="s">
        <v>24</v>
      </c>
      <c r="D162" s="3" t="s">
        <v>51</v>
      </c>
      <c r="E162" s="3" t="s">
        <v>18</v>
      </c>
      <c r="F162" s="3" t="s">
        <v>69</v>
      </c>
      <c r="G162" s="3">
        <v>1</v>
      </c>
      <c r="H162" s="6">
        <v>1600</v>
      </c>
      <c r="I162" s="7">
        <v>0.1</v>
      </c>
      <c r="J162" s="6">
        <v>1440</v>
      </c>
      <c r="K162" s="6">
        <v>950</v>
      </c>
      <c r="L162" s="6">
        <v>490</v>
      </c>
      <c r="M162" s="3" t="s">
        <v>54</v>
      </c>
      <c r="N162" s="3" t="s">
        <v>21</v>
      </c>
      <c r="O162" s="3" t="s">
        <v>22</v>
      </c>
      <c r="P162">
        <f t="shared" si="8"/>
        <v>0.34027777777777779</v>
      </c>
      <c r="Q162" t="str">
        <f t="shared" si="6"/>
        <v>Low Profit</v>
      </c>
      <c r="R162" t="str">
        <f t="shared" si="7"/>
        <v>Normal</v>
      </c>
    </row>
    <row r="163" spans="1:18" x14ac:dyDescent="0.25">
      <c r="A163" t="s">
        <v>233</v>
      </c>
      <c r="B163" s="8">
        <v>45734</v>
      </c>
      <c r="C163" t="s">
        <v>24</v>
      </c>
      <c r="D163" t="s">
        <v>51</v>
      </c>
      <c r="E163" t="s">
        <v>52</v>
      </c>
      <c r="F163" t="s">
        <v>53</v>
      </c>
      <c r="G163">
        <v>11</v>
      </c>
      <c r="H163" s="1">
        <v>90</v>
      </c>
      <c r="I163" s="9">
        <v>0.2</v>
      </c>
      <c r="J163" s="1">
        <v>792</v>
      </c>
      <c r="K163" s="1">
        <v>440</v>
      </c>
      <c r="L163" s="1">
        <v>352</v>
      </c>
      <c r="M163" t="s">
        <v>54</v>
      </c>
      <c r="N163" t="s">
        <v>21</v>
      </c>
      <c r="O163" t="s">
        <v>22</v>
      </c>
      <c r="P163">
        <f t="shared" si="8"/>
        <v>0.44444444444444442</v>
      </c>
      <c r="Q163" t="str">
        <f t="shared" si="6"/>
        <v>Low Profit</v>
      </c>
      <c r="R163" t="str">
        <f t="shared" si="7"/>
        <v>Normal</v>
      </c>
    </row>
    <row r="164" spans="1:18" x14ac:dyDescent="0.25">
      <c r="A164" s="3" t="s">
        <v>234</v>
      </c>
      <c r="B164" s="5">
        <v>45724</v>
      </c>
      <c r="C164" s="3" t="s">
        <v>31</v>
      </c>
      <c r="D164" s="3" t="s">
        <v>100</v>
      </c>
      <c r="E164" s="3" t="s">
        <v>52</v>
      </c>
      <c r="F164" s="3" t="s">
        <v>53</v>
      </c>
      <c r="G164" s="3">
        <v>12</v>
      </c>
      <c r="H164" s="6">
        <v>90</v>
      </c>
      <c r="I164" s="7">
        <v>0.15</v>
      </c>
      <c r="J164" s="6">
        <v>918</v>
      </c>
      <c r="K164" s="6">
        <v>480</v>
      </c>
      <c r="L164" s="6">
        <v>438</v>
      </c>
      <c r="M164" s="3" t="s">
        <v>28</v>
      </c>
      <c r="N164" s="3" t="s">
        <v>21</v>
      </c>
      <c r="O164" s="3" t="s">
        <v>36</v>
      </c>
      <c r="P164">
        <f t="shared" si="8"/>
        <v>0.47712418300653597</v>
      </c>
      <c r="Q164" t="str">
        <f t="shared" si="6"/>
        <v>Low Profit</v>
      </c>
      <c r="R164" t="str">
        <f t="shared" si="7"/>
        <v>Normal</v>
      </c>
    </row>
    <row r="165" spans="1:18" x14ac:dyDescent="0.25">
      <c r="A165" t="s">
        <v>235</v>
      </c>
      <c r="B165" s="8">
        <v>45705</v>
      </c>
      <c r="C165" t="s">
        <v>24</v>
      </c>
      <c r="D165" t="s">
        <v>51</v>
      </c>
      <c r="E165" t="s">
        <v>26</v>
      </c>
      <c r="F165" t="s">
        <v>80</v>
      </c>
      <c r="G165">
        <v>12</v>
      </c>
      <c r="H165" s="1">
        <v>1200</v>
      </c>
      <c r="I165" s="9">
        <v>0.2</v>
      </c>
      <c r="J165" s="1">
        <v>11520</v>
      </c>
      <c r="K165" s="1">
        <v>8400</v>
      </c>
      <c r="L165" s="1">
        <v>3120</v>
      </c>
      <c r="M165" t="s">
        <v>61</v>
      </c>
      <c r="N165" t="s">
        <v>41</v>
      </c>
      <c r="O165" t="s">
        <v>49</v>
      </c>
      <c r="P165">
        <f t="shared" si="8"/>
        <v>0.27083333333333331</v>
      </c>
      <c r="Q165" t="str">
        <f t="shared" si="6"/>
        <v>Good Profit</v>
      </c>
      <c r="R165" t="str">
        <f t="shared" si="7"/>
        <v>High Value</v>
      </c>
    </row>
    <row r="166" spans="1:18" x14ac:dyDescent="0.25">
      <c r="A166" s="3" t="s">
        <v>236</v>
      </c>
      <c r="B166" s="5">
        <v>45756</v>
      </c>
      <c r="C166" s="3" t="s">
        <v>38</v>
      </c>
      <c r="D166" s="3" t="s">
        <v>170</v>
      </c>
      <c r="E166" s="3" t="s">
        <v>26</v>
      </c>
      <c r="F166" s="3" t="s">
        <v>66</v>
      </c>
      <c r="G166" s="3">
        <v>6</v>
      </c>
      <c r="H166" s="6">
        <v>950</v>
      </c>
      <c r="I166" s="7">
        <v>0.15</v>
      </c>
      <c r="J166" s="6">
        <v>4845</v>
      </c>
      <c r="K166" s="6">
        <v>3420</v>
      </c>
      <c r="L166" s="6">
        <v>1425</v>
      </c>
      <c r="M166" s="3" t="s">
        <v>34</v>
      </c>
      <c r="N166" s="3" t="s">
        <v>92</v>
      </c>
      <c r="O166" s="3" t="s">
        <v>49</v>
      </c>
      <c r="P166">
        <f t="shared" si="8"/>
        <v>0.29411764705882354</v>
      </c>
      <c r="Q166" t="str">
        <f t="shared" si="6"/>
        <v>Good Profit</v>
      </c>
      <c r="R166" t="str">
        <f t="shared" si="7"/>
        <v>Normal</v>
      </c>
    </row>
    <row r="167" spans="1:18" x14ac:dyDescent="0.25">
      <c r="A167" t="s">
        <v>237</v>
      </c>
      <c r="B167" s="8">
        <v>45677</v>
      </c>
      <c r="C167" t="s">
        <v>16</v>
      </c>
      <c r="D167" t="s">
        <v>139</v>
      </c>
      <c r="E167" t="s">
        <v>26</v>
      </c>
      <c r="F167" t="s">
        <v>94</v>
      </c>
      <c r="G167">
        <v>9</v>
      </c>
      <c r="H167" s="1">
        <v>9500</v>
      </c>
      <c r="I167" s="9">
        <v>0.2</v>
      </c>
      <c r="J167" s="1">
        <v>68400</v>
      </c>
      <c r="K167" s="1">
        <v>64800</v>
      </c>
      <c r="L167" s="1">
        <v>3600</v>
      </c>
      <c r="M167" t="s">
        <v>54</v>
      </c>
      <c r="N167" t="s">
        <v>92</v>
      </c>
      <c r="O167" t="s">
        <v>22</v>
      </c>
      <c r="P167">
        <f t="shared" si="8"/>
        <v>5.2631578947368418E-2</v>
      </c>
      <c r="Q167" t="str">
        <f t="shared" si="6"/>
        <v>Good Profit</v>
      </c>
      <c r="R167" t="str">
        <f t="shared" si="7"/>
        <v>High Value</v>
      </c>
    </row>
    <row r="168" spans="1:18" x14ac:dyDescent="0.25">
      <c r="A168" s="3" t="s">
        <v>238</v>
      </c>
      <c r="B168" s="5">
        <v>45742</v>
      </c>
      <c r="C168" s="3" t="s">
        <v>24</v>
      </c>
      <c r="D168" s="3" t="s">
        <v>63</v>
      </c>
      <c r="E168" s="3" t="s">
        <v>26</v>
      </c>
      <c r="F168" s="3" t="s">
        <v>66</v>
      </c>
      <c r="G168" s="3">
        <v>12</v>
      </c>
      <c r="H168" s="6">
        <v>950</v>
      </c>
      <c r="I168" s="7">
        <v>0.2</v>
      </c>
      <c r="J168" s="6">
        <v>9120</v>
      </c>
      <c r="K168" s="6">
        <v>6840</v>
      </c>
      <c r="L168" s="6">
        <v>2280</v>
      </c>
      <c r="M168" s="3" t="s">
        <v>61</v>
      </c>
      <c r="N168" s="3" t="s">
        <v>29</v>
      </c>
      <c r="O168" s="3" t="s">
        <v>36</v>
      </c>
      <c r="P168">
        <f t="shared" si="8"/>
        <v>0.25</v>
      </c>
      <c r="Q168" t="str">
        <f t="shared" si="6"/>
        <v>Good Profit</v>
      </c>
      <c r="R168" t="str">
        <f t="shared" si="7"/>
        <v>High Value</v>
      </c>
    </row>
    <row r="169" spans="1:18" x14ac:dyDescent="0.25">
      <c r="A169" t="s">
        <v>239</v>
      </c>
      <c r="B169" s="8">
        <v>45777</v>
      </c>
      <c r="C169" t="s">
        <v>38</v>
      </c>
      <c r="D169" t="s">
        <v>39</v>
      </c>
      <c r="E169" t="s">
        <v>52</v>
      </c>
      <c r="F169" t="s">
        <v>108</v>
      </c>
      <c r="G169">
        <v>5</v>
      </c>
      <c r="H169" s="1">
        <v>180</v>
      </c>
      <c r="I169" s="9">
        <v>0.15</v>
      </c>
      <c r="J169" s="1">
        <v>765</v>
      </c>
      <c r="K169" s="1">
        <v>450</v>
      </c>
      <c r="L169" s="1">
        <v>315</v>
      </c>
      <c r="M169" t="s">
        <v>28</v>
      </c>
      <c r="N169" t="s">
        <v>48</v>
      </c>
      <c r="O169" t="s">
        <v>36</v>
      </c>
      <c r="P169">
        <f t="shared" si="8"/>
        <v>0.41176470588235292</v>
      </c>
      <c r="Q169" t="str">
        <f t="shared" si="6"/>
        <v>Low Profit</v>
      </c>
      <c r="R169" t="str">
        <f t="shared" si="7"/>
        <v>Normal</v>
      </c>
    </row>
    <row r="170" spans="1:18" x14ac:dyDescent="0.25">
      <c r="A170" s="3" t="s">
        <v>240</v>
      </c>
      <c r="B170" s="5">
        <v>45894</v>
      </c>
      <c r="C170" s="3" t="s">
        <v>24</v>
      </c>
      <c r="D170" s="3" t="s">
        <v>63</v>
      </c>
      <c r="E170" s="3" t="s">
        <v>52</v>
      </c>
      <c r="F170" s="3" t="s">
        <v>53</v>
      </c>
      <c r="G170" s="3">
        <v>10</v>
      </c>
      <c r="H170" s="6">
        <v>90</v>
      </c>
      <c r="I170" s="7">
        <v>0.15</v>
      </c>
      <c r="J170" s="6">
        <v>765</v>
      </c>
      <c r="K170" s="6">
        <v>400</v>
      </c>
      <c r="L170" s="6">
        <v>365</v>
      </c>
      <c r="M170" s="3" t="s">
        <v>54</v>
      </c>
      <c r="N170" s="3" t="s">
        <v>35</v>
      </c>
      <c r="O170" s="3" t="s">
        <v>22</v>
      </c>
      <c r="P170">
        <f t="shared" si="8"/>
        <v>0.47712418300653597</v>
      </c>
      <c r="Q170" t="str">
        <f t="shared" si="6"/>
        <v>Low Profit</v>
      </c>
      <c r="R170" t="str">
        <f t="shared" si="7"/>
        <v>Normal</v>
      </c>
    </row>
    <row r="171" spans="1:18" x14ac:dyDescent="0.25">
      <c r="A171" t="s">
        <v>241</v>
      </c>
      <c r="B171" s="8">
        <v>45684</v>
      </c>
      <c r="C171" t="s">
        <v>24</v>
      </c>
      <c r="D171" t="s">
        <v>63</v>
      </c>
      <c r="E171" t="s">
        <v>26</v>
      </c>
      <c r="F171" t="s">
        <v>94</v>
      </c>
      <c r="G171">
        <v>3</v>
      </c>
      <c r="H171" s="1">
        <v>9500</v>
      </c>
      <c r="I171" s="9">
        <v>0.1</v>
      </c>
      <c r="J171" s="1">
        <v>25650</v>
      </c>
      <c r="K171" s="1">
        <v>21600</v>
      </c>
      <c r="L171" s="1">
        <v>4050</v>
      </c>
      <c r="M171" t="s">
        <v>61</v>
      </c>
      <c r="N171" t="s">
        <v>41</v>
      </c>
      <c r="O171" t="s">
        <v>22</v>
      </c>
      <c r="P171">
        <f t="shared" si="8"/>
        <v>0.15789473684210525</v>
      </c>
      <c r="Q171" t="str">
        <f t="shared" si="6"/>
        <v>Good Profit</v>
      </c>
      <c r="R171" t="str">
        <f t="shared" si="7"/>
        <v>High Value</v>
      </c>
    </row>
    <row r="172" spans="1:18" x14ac:dyDescent="0.25">
      <c r="A172" s="3" t="s">
        <v>242</v>
      </c>
      <c r="B172" s="5">
        <v>45888</v>
      </c>
      <c r="C172" s="3" t="s">
        <v>16</v>
      </c>
      <c r="D172" s="3" t="s">
        <v>17</v>
      </c>
      <c r="E172" s="3" t="s">
        <v>52</v>
      </c>
      <c r="F172" s="3" t="s">
        <v>88</v>
      </c>
      <c r="G172" s="3">
        <v>3</v>
      </c>
      <c r="H172" s="6">
        <v>250</v>
      </c>
      <c r="I172" s="7">
        <v>0.1</v>
      </c>
      <c r="J172" s="6">
        <v>675</v>
      </c>
      <c r="K172" s="6">
        <v>390</v>
      </c>
      <c r="L172" s="6">
        <v>285</v>
      </c>
      <c r="M172" s="3" t="s">
        <v>28</v>
      </c>
      <c r="N172" s="3" t="s">
        <v>92</v>
      </c>
      <c r="O172" s="3" t="s">
        <v>36</v>
      </c>
      <c r="P172">
        <f t="shared" si="8"/>
        <v>0.42222222222222222</v>
      </c>
      <c r="Q172" t="str">
        <f t="shared" si="6"/>
        <v>Low Profit</v>
      </c>
      <c r="R172" t="str">
        <f t="shared" si="7"/>
        <v>Normal</v>
      </c>
    </row>
    <row r="173" spans="1:18" x14ac:dyDescent="0.25">
      <c r="A173" t="s">
        <v>243</v>
      </c>
      <c r="B173" s="8">
        <v>45685</v>
      </c>
      <c r="C173" t="s">
        <v>16</v>
      </c>
      <c r="D173" t="s">
        <v>60</v>
      </c>
      <c r="E173" t="s">
        <v>52</v>
      </c>
      <c r="F173" t="s">
        <v>73</v>
      </c>
      <c r="G173">
        <v>1</v>
      </c>
      <c r="H173" s="1">
        <v>450</v>
      </c>
      <c r="I173" s="9">
        <v>0.15</v>
      </c>
      <c r="J173" s="1">
        <v>382.5</v>
      </c>
      <c r="K173" s="1">
        <v>240</v>
      </c>
      <c r="L173" s="1">
        <v>142.5</v>
      </c>
      <c r="M173" t="s">
        <v>61</v>
      </c>
      <c r="N173" t="s">
        <v>41</v>
      </c>
      <c r="O173" t="s">
        <v>49</v>
      </c>
      <c r="P173">
        <f t="shared" si="8"/>
        <v>0.37254901960784315</v>
      </c>
      <c r="Q173" t="str">
        <f t="shared" si="6"/>
        <v>Low Profit</v>
      </c>
      <c r="R173" t="str">
        <f t="shared" si="7"/>
        <v>Normal</v>
      </c>
    </row>
    <row r="174" spans="1:18" x14ac:dyDescent="0.25">
      <c r="A174" s="3" t="s">
        <v>244</v>
      </c>
      <c r="B174" s="5">
        <v>45708</v>
      </c>
      <c r="C174" s="3" t="s">
        <v>24</v>
      </c>
      <c r="D174" s="3" t="s">
        <v>25</v>
      </c>
      <c r="E174" s="3" t="s">
        <v>52</v>
      </c>
      <c r="F174" s="3" t="s">
        <v>64</v>
      </c>
      <c r="G174" s="3">
        <v>1</v>
      </c>
      <c r="H174" s="6">
        <v>120</v>
      </c>
      <c r="I174" s="7">
        <v>0.1</v>
      </c>
      <c r="J174" s="6">
        <v>108</v>
      </c>
      <c r="K174" s="6">
        <v>55</v>
      </c>
      <c r="L174" s="6">
        <v>53</v>
      </c>
      <c r="M174" s="3" t="s">
        <v>54</v>
      </c>
      <c r="N174" s="3" t="s">
        <v>92</v>
      </c>
      <c r="O174" s="3" t="s">
        <v>49</v>
      </c>
      <c r="P174">
        <f t="shared" si="8"/>
        <v>0.49074074074074076</v>
      </c>
      <c r="Q174" t="str">
        <f t="shared" si="6"/>
        <v>Low Profit</v>
      </c>
      <c r="R174" t="str">
        <f t="shared" si="7"/>
        <v>Normal</v>
      </c>
    </row>
    <row r="175" spans="1:18" x14ac:dyDescent="0.25">
      <c r="A175" t="s">
        <v>245</v>
      </c>
      <c r="B175" s="8">
        <v>45887</v>
      </c>
      <c r="C175" t="s">
        <v>16</v>
      </c>
      <c r="D175" t="s">
        <v>139</v>
      </c>
      <c r="E175" t="s">
        <v>52</v>
      </c>
      <c r="F175" t="s">
        <v>53</v>
      </c>
      <c r="G175">
        <v>3</v>
      </c>
      <c r="H175" s="1">
        <v>90</v>
      </c>
      <c r="I175" s="9">
        <v>0.15</v>
      </c>
      <c r="J175" s="1">
        <v>229.5</v>
      </c>
      <c r="K175" s="1">
        <v>120</v>
      </c>
      <c r="L175" s="1">
        <v>109.5</v>
      </c>
      <c r="M175" t="s">
        <v>28</v>
      </c>
      <c r="N175" t="s">
        <v>29</v>
      </c>
      <c r="O175" t="s">
        <v>49</v>
      </c>
      <c r="P175">
        <f t="shared" si="8"/>
        <v>0.47712418300653597</v>
      </c>
      <c r="Q175" t="str">
        <f t="shared" si="6"/>
        <v>Low Profit</v>
      </c>
      <c r="R175" t="str">
        <f t="shared" si="7"/>
        <v>Normal</v>
      </c>
    </row>
    <row r="176" spans="1:18" x14ac:dyDescent="0.25">
      <c r="A176" s="3" t="s">
        <v>246</v>
      </c>
      <c r="B176" s="5">
        <v>45928</v>
      </c>
      <c r="C176" s="3" t="s">
        <v>16</v>
      </c>
      <c r="D176" s="3" t="s">
        <v>139</v>
      </c>
      <c r="E176" s="3" t="s">
        <v>26</v>
      </c>
      <c r="F176" s="3" t="s">
        <v>66</v>
      </c>
      <c r="G176" s="3">
        <v>9</v>
      </c>
      <c r="H176" s="6">
        <v>950</v>
      </c>
      <c r="I176" s="7">
        <v>0.2</v>
      </c>
      <c r="J176" s="6">
        <v>6840</v>
      </c>
      <c r="K176" s="6">
        <v>5130</v>
      </c>
      <c r="L176" s="6">
        <v>1710</v>
      </c>
      <c r="M176" s="3" t="s">
        <v>61</v>
      </c>
      <c r="N176" s="3" t="s">
        <v>21</v>
      </c>
      <c r="O176" s="3" t="s">
        <v>36</v>
      </c>
      <c r="P176">
        <f t="shared" si="8"/>
        <v>0.25</v>
      </c>
      <c r="Q176" t="str">
        <f t="shared" si="6"/>
        <v>Good Profit</v>
      </c>
      <c r="R176" t="str">
        <f t="shared" si="7"/>
        <v>High Value</v>
      </c>
    </row>
    <row r="177" spans="1:18" x14ac:dyDescent="0.25">
      <c r="A177" t="s">
        <v>247</v>
      </c>
      <c r="B177" s="8">
        <v>45985</v>
      </c>
      <c r="C177" t="s">
        <v>31</v>
      </c>
      <c r="D177" t="s">
        <v>100</v>
      </c>
      <c r="E177" t="s">
        <v>26</v>
      </c>
      <c r="F177" t="s">
        <v>27</v>
      </c>
      <c r="G177">
        <v>4</v>
      </c>
      <c r="H177" s="1">
        <v>650</v>
      </c>
      <c r="I177" s="9">
        <v>0.15</v>
      </c>
      <c r="J177" s="1">
        <v>2210</v>
      </c>
      <c r="K177" s="1">
        <v>1520</v>
      </c>
      <c r="L177" s="1">
        <v>690</v>
      </c>
      <c r="M177" t="s">
        <v>28</v>
      </c>
      <c r="N177" t="s">
        <v>57</v>
      </c>
      <c r="O177" t="s">
        <v>49</v>
      </c>
      <c r="P177">
        <f t="shared" si="8"/>
        <v>0.31221719457013575</v>
      </c>
      <c r="Q177" t="str">
        <f t="shared" si="6"/>
        <v>Good Profit</v>
      </c>
      <c r="R177" t="str">
        <f t="shared" si="7"/>
        <v>Normal</v>
      </c>
    </row>
    <row r="178" spans="1:18" x14ac:dyDescent="0.25">
      <c r="A178" s="3" t="s">
        <v>248</v>
      </c>
      <c r="B178" s="5">
        <v>45952</v>
      </c>
      <c r="C178" s="3" t="s">
        <v>16</v>
      </c>
      <c r="D178" s="3" t="s">
        <v>104</v>
      </c>
      <c r="E178" s="3" t="s">
        <v>18</v>
      </c>
      <c r="F178" s="3" t="s">
        <v>69</v>
      </c>
      <c r="G178" s="3">
        <v>1</v>
      </c>
      <c r="H178" s="6">
        <v>1600</v>
      </c>
      <c r="I178" s="7">
        <v>0.2</v>
      </c>
      <c r="J178" s="6">
        <v>1280</v>
      </c>
      <c r="K178" s="6">
        <v>950</v>
      </c>
      <c r="L178" s="6">
        <v>330</v>
      </c>
      <c r="M178" s="3" t="s">
        <v>34</v>
      </c>
      <c r="N178" s="3" t="s">
        <v>92</v>
      </c>
      <c r="O178" s="3" t="s">
        <v>36</v>
      </c>
      <c r="P178">
        <f t="shared" si="8"/>
        <v>0.2578125</v>
      </c>
      <c r="Q178" t="str">
        <f t="shared" si="6"/>
        <v>Low Profit</v>
      </c>
      <c r="R178" t="str">
        <f t="shared" si="7"/>
        <v>Normal</v>
      </c>
    </row>
    <row r="179" spans="1:18" x14ac:dyDescent="0.25">
      <c r="A179" t="s">
        <v>249</v>
      </c>
      <c r="B179" s="8">
        <v>45871</v>
      </c>
      <c r="C179" t="s">
        <v>24</v>
      </c>
      <c r="D179" t="s">
        <v>25</v>
      </c>
      <c r="E179" t="s">
        <v>18</v>
      </c>
      <c r="F179" t="s">
        <v>19</v>
      </c>
      <c r="G179">
        <v>4</v>
      </c>
      <c r="H179" s="1">
        <v>5400</v>
      </c>
      <c r="I179" s="9">
        <v>0.2</v>
      </c>
      <c r="J179" s="1">
        <v>17280</v>
      </c>
      <c r="K179" s="1">
        <v>14400</v>
      </c>
      <c r="L179" s="1">
        <v>2880</v>
      </c>
      <c r="M179" t="s">
        <v>34</v>
      </c>
      <c r="N179" t="s">
        <v>21</v>
      </c>
      <c r="O179" t="s">
        <v>22</v>
      </c>
      <c r="P179">
        <f t="shared" si="8"/>
        <v>0.16666666666666666</v>
      </c>
      <c r="Q179" t="str">
        <f t="shared" si="6"/>
        <v>Good Profit</v>
      </c>
      <c r="R179" t="str">
        <f t="shared" si="7"/>
        <v>High Value</v>
      </c>
    </row>
    <row r="180" spans="1:18" x14ac:dyDescent="0.25">
      <c r="A180" s="3" t="s">
        <v>250</v>
      </c>
      <c r="B180" s="5">
        <v>45941</v>
      </c>
      <c r="C180" s="3" t="s">
        <v>38</v>
      </c>
      <c r="D180" s="3" t="s">
        <v>43</v>
      </c>
      <c r="E180" s="3" t="s">
        <v>18</v>
      </c>
      <c r="F180" s="3" t="s">
        <v>69</v>
      </c>
      <c r="G180" s="3">
        <v>9</v>
      </c>
      <c r="H180" s="6">
        <v>1600</v>
      </c>
      <c r="I180" s="7">
        <v>0.2</v>
      </c>
      <c r="J180" s="6">
        <v>11520</v>
      </c>
      <c r="K180" s="6">
        <v>8550</v>
      </c>
      <c r="L180" s="6">
        <v>2970</v>
      </c>
      <c r="M180" s="3" t="s">
        <v>20</v>
      </c>
      <c r="N180" s="3" t="s">
        <v>35</v>
      </c>
      <c r="O180" s="3" t="s">
        <v>36</v>
      </c>
      <c r="P180">
        <f t="shared" si="8"/>
        <v>0.2578125</v>
      </c>
      <c r="Q180" t="str">
        <f t="shared" si="6"/>
        <v>Good Profit</v>
      </c>
      <c r="R180" t="str">
        <f t="shared" si="7"/>
        <v>High Value</v>
      </c>
    </row>
    <row r="181" spans="1:18" x14ac:dyDescent="0.25">
      <c r="A181" t="s">
        <v>251</v>
      </c>
      <c r="B181" s="8">
        <v>45840</v>
      </c>
      <c r="C181" t="s">
        <v>16</v>
      </c>
      <c r="D181" t="s">
        <v>104</v>
      </c>
      <c r="E181" t="s">
        <v>52</v>
      </c>
      <c r="F181" t="s">
        <v>73</v>
      </c>
      <c r="G181">
        <v>12</v>
      </c>
      <c r="H181" s="1">
        <v>450</v>
      </c>
      <c r="I181" s="9">
        <v>0</v>
      </c>
      <c r="J181" s="1">
        <v>5400</v>
      </c>
      <c r="K181" s="1">
        <v>2880</v>
      </c>
      <c r="L181" s="1">
        <v>2520</v>
      </c>
      <c r="M181" t="s">
        <v>20</v>
      </c>
      <c r="N181" t="s">
        <v>41</v>
      </c>
      <c r="O181" t="s">
        <v>49</v>
      </c>
      <c r="P181">
        <f t="shared" si="8"/>
        <v>0.46666666666666667</v>
      </c>
      <c r="Q181" t="str">
        <f t="shared" si="6"/>
        <v>Good Profit</v>
      </c>
      <c r="R181" t="str">
        <f t="shared" si="7"/>
        <v>High Value</v>
      </c>
    </row>
    <row r="182" spans="1:18" x14ac:dyDescent="0.25">
      <c r="A182" s="3" t="s">
        <v>252</v>
      </c>
      <c r="B182" s="5">
        <v>45831</v>
      </c>
      <c r="C182" s="3" t="s">
        <v>16</v>
      </c>
      <c r="D182" s="3" t="s">
        <v>139</v>
      </c>
      <c r="E182" s="3" t="s">
        <v>26</v>
      </c>
      <c r="F182" s="3" t="s">
        <v>27</v>
      </c>
      <c r="G182" s="3">
        <v>6</v>
      </c>
      <c r="H182" s="6">
        <v>650</v>
      </c>
      <c r="I182" s="7">
        <v>0.2</v>
      </c>
      <c r="J182" s="6">
        <v>3120</v>
      </c>
      <c r="K182" s="6">
        <v>2280</v>
      </c>
      <c r="L182" s="6">
        <v>840</v>
      </c>
      <c r="M182" s="3" t="s">
        <v>34</v>
      </c>
      <c r="N182" s="3" t="s">
        <v>57</v>
      </c>
      <c r="O182" s="3" t="s">
        <v>22</v>
      </c>
      <c r="P182">
        <f t="shared" si="8"/>
        <v>0.26923076923076922</v>
      </c>
      <c r="Q182" t="str">
        <f t="shared" si="6"/>
        <v>Good Profit</v>
      </c>
      <c r="R182" t="str">
        <f t="shared" si="7"/>
        <v>Normal</v>
      </c>
    </row>
    <row r="183" spans="1:18" x14ac:dyDescent="0.25">
      <c r="A183" t="s">
        <v>253</v>
      </c>
      <c r="B183" s="8">
        <v>45676</v>
      </c>
      <c r="C183" t="s">
        <v>24</v>
      </c>
      <c r="D183" t="s">
        <v>63</v>
      </c>
      <c r="E183" t="s">
        <v>26</v>
      </c>
      <c r="F183" t="s">
        <v>27</v>
      </c>
      <c r="G183">
        <v>12</v>
      </c>
      <c r="H183" s="1">
        <v>650</v>
      </c>
      <c r="I183" s="9">
        <v>0.15</v>
      </c>
      <c r="J183" s="1">
        <v>6630</v>
      </c>
      <c r="K183" s="1">
        <v>4560</v>
      </c>
      <c r="L183" s="1">
        <v>2070</v>
      </c>
      <c r="M183" t="s">
        <v>54</v>
      </c>
      <c r="N183" t="s">
        <v>48</v>
      </c>
      <c r="O183" t="s">
        <v>49</v>
      </c>
      <c r="P183">
        <f t="shared" si="8"/>
        <v>0.31221719457013575</v>
      </c>
      <c r="Q183" t="str">
        <f t="shared" si="6"/>
        <v>Good Profit</v>
      </c>
      <c r="R183" t="str">
        <f t="shared" si="7"/>
        <v>High Value</v>
      </c>
    </row>
    <row r="184" spans="1:18" x14ac:dyDescent="0.25">
      <c r="A184" s="3" t="s">
        <v>254</v>
      </c>
      <c r="B184" s="5">
        <v>45936</v>
      </c>
      <c r="C184" s="3" t="s">
        <v>31</v>
      </c>
      <c r="D184" s="3" t="s">
        <v>79</v>
      </c>
      <c r="E184" s="3" t="s">
        <v>52</v>
      </c>
      <c r="F184" s="3" t="s">
        <v>73</v>
      </c>
      <c r="G184" s="3">
        <v>9</v>
      </c>
      <c r="H184" s="6">
        <v>450</v>
      </c>
      <c r="I184" s="7">
        <v>0.15</v>
      </c>
      <c r="J184" s="6">
        <v>3442.5</v>
      </c>
      <c r="K184" s="6">
        <v>2160</v>
      </c>
      <c r="L184" s="6">
        <v>1282.5</v>
      </c>
      <c r="M184" s="3" t="s">
        <v>61</v>
      </c>
      <c r="N184" s="3" t="s">
        <v>45</v>
      </c>
      <c r="O184" s="3" t="s">
        <v>49</v>
      </c>
      <c r="P184">
        <f t="shared" si="8"/>
        <v>0.37254901960784315</v>
      </c>
      <c r="Q184" t="str">
        <f t="shared" si="6"/>
        <v>Good Profit</v>
      </c>
      <c r="R184" t="str">
        <f t="shared" si="7"/>
        <v>Normal</v>
      </c>
    </row>
    <row r="185" spans="1:18" x14ac:dyDescent="0.25">
      <c r="A185" t="s">
        <v>255</v>
      </c>
      <c r="B185" s="8">
        <v>45797</v>
      </c>
      <c r="C185" t="s">
        <v>31</v>
      </c>
      <c r="D185" t="s">
        <v>100</v>
      </c>
      <c r="E185" t="s">
        <v>52</v>
      </c>
      <c r="F185" t="s">
        <v>88</v>
      </c>
      <c r="G185">
        <v>11</v>
      </c>
      <c r="H185" s="1">
        <v>250</v>
      </c>
      <c r="I185" s="9">
        <v>0.1</v>
      </c>
      <c r="J185" s="1">
        <v>2475</v>
      </c>
      <c r="K185" s="1">
        <v>1430</v>
      </c>
      <c r="L185" s="1">
        <v>1045</v>
      </c>
      <c r="M185" t="s">
        <v>20</v>
      </c>
      <c r="N185" t="s">
        <v>41</v>
      </c>
      <c r="O185" t="s">
        <v>36</v>
      </c>
      <c r="P185">
        <f t="shared" si="8"/>
        <v>0.42222222222222222</v>
      </c>
      <c r="Q185" t="str">
        <f t="shared" si="6"/>
        <v>Good Profit</v>
      </c>
      <c r="R185" t="str">
        <f t="shared" si="7"/>
        <v>Normal</v>
      </c>
    </row>
    <row r="186" spans="1:18" x14ac:dyDescent="0.25">
      <c r="A186" s="3" t="s">
        <v>256</v>
      </c>
      <c r="B186" s="5">
        <v>46012</v>
      </c>
      <c r="C186" s="3" t="s">
        <v>24</v>
      </c>
      <c r="D186" s="3" t="s">
        <v>83</v>
      </c>
      <c r="E186" s="3" t="s">
        <v>52</v>
      </c>
      <c r="F186" s="3" t="s">
        <v>73</v>
      </c>
      <c r="G186" s="3">
        <v>3</v>
      </c>
      <c r="H186" s="6">
        <v>450</v>
      </c>
      <c r="I186" s="7">
        <v>0.15</v>
      </c>
      <c r="J186" s="6">
        <v>1147.5</v>
      </c>
      <c r="K186" s="6">
        <v>720</v>
      </c>
      <c r="L186" s="6">
        <v>427.5</v>
      </c>
      <c r="M186" s="3" t="s">
        <v>61</v>
      </c>
      <c r="N186" s="3" t="s">
        <v>41</v>
      </c>
      <c r="O186" s="3" t="s">
        <v>22</v>
      </c>
      <c r="P186">
        <f t="shared" si="8"/>
        <v>0.37254901960784315</v>
      </c>
      <c r="Q186" t="str">
        <f t="shared" si="6"/>
        <v>Low Profit</v>
      </c>
      <c r="R186" t="str">
        <f t="shared" si="7"/>
        <v>Normal</v>
      </c>
    </row>
    <row r="187" spans="1:18" x14ac:dyDescent="0.25">
      <c r="A187" t="s">
        <v>257</v>
      </c>
      <c r="B187" s="8">
        <v>45966</v>
      </c>
      <c r="C187" t="s">
        <v>38</v>
      </c>
      <c r="D187" t="s">
        <v>43</v>
      </c>
      <c r="E187" t="s">
        <v>18</v>
      </c>
      <c r="F187" t="s">
        <v>44</v>
      </c>
      <c r="G187">
        <v>2</v>
      </c>
      <c r="H187" s="1">
        <v>950</v>
      </c>
      <c r="I187" s="9">
        <v>0.15</v>
      </c>
      <c r="J187" s="1">
        <v>1615</v>
      </c>
      <c r="K187" s="1">
        <v>1040</v>
      </c>
      <c r="L187" s="1">
        <v>575</v>
      </c>
      <c r="M187" t="s">
        <v>34</v>
      </c>
      <c r="N187" t="s">
        <v>45</v>
      </c>
      <c r="O187" t="s">
        <v>36</v>
      </c>
      <c r="P187">
        <f t="shared" si="8"/>
        <v>0.35603715170278638</v>
      </c>
      <c r="Q187" t="str">
        <f t="shared" si="6"/>
        <v>Good Profit</v>
      </c>
      <c r="R187" t="str">
        <f t="shared" si="7"/>
        <v>Normal</v>
      </c>
    </row>
    <row r="188" spans="1:18" x14ac:dyDescent="0.25">
      <c r="A188" s="3" t="s">
        <v>258</v>
      </c>
      <c r="B188" s="5">
        <v>45886</v>
      </c>
      <c r="C188" s="3" t="s">
        <v>16</v>
      </c>
      <c r="D188" s="3" t="s">
        <v>17</v>
      </c>
      <c r="E188" s="3" t="s">
        <v>52</v>
      </c>
      <c r="F188" s="3" t="s">
        <v>53</v>
      </c>
      <c r="G188" s="3">
        <v>5</v>
      </c>
      <c r="H188" s="6">
        <v>90</v>
      </c>
      <c r="I188" s="7">
        <v>0.1</v>
      </c>
      <c r="J188" s="6">
        <v>405</v>
      </c>
      <c r="K188" s="6">
        <v>200</v>
      </c>
      <c r="L188" s="6">
        <v>205</v>
      </c>
      <c r="M188" s="3" t="s">
        <v>28</v>
      </c>
      <c r="N188" s="3" t="s">
        <v>35</v>
      </c>
      <c r="O188" s="3" t="s">
        <v>49</v>
      </c>
      <c r="P188">
        <f t="shared" si="8"/>
        <v>0.50617283950617287</v>
      </c>
      <c r="Q188" t="str">
        <f t="shared" si="6"/>
        <v>Low Profit</v>
      </c>
      <c r="R188" t="str">
        <f t="shared" si="7"/>
        <v>Normal</v>
      </c>
    </row>
    <row r="189" spans="1:18" x14ac:dyDescent="0.25">
      <c r="A189" t="s">
        <v>259</v>
      </c>
      <c r="B189" s="8">
        <v>45972</v>
      </c>
      <c r="C189" t="s">
        <v>24</v>
      </c>
      <c r="D189" t="s">
        <v>51</v>
      </c>
      <c r="E189" t="s">
        <v>52</v>
      </c>
      <c r="F189" t="s">
        <v>88</v>
      </c>
      <c r="G189">
        <v>12</v>
      </c>
      <c r="H189" s="1">
        <v>250</v>
      </c>
      <c r="I189" s="9">
        <v>0.1</v>
      </c>
      <c r="J189" s="1">
        <v>2700</v>
      </c>
      <c r="K189" s="1">
        <v>1560</v>
      </c>
      <c r="L189" s="1">
        <v>1140</v>
      </c>
      <c r="M189" t="s">
        <v>61</v>
      </c>
      <c r="N189" t="s">
        <v>45</v>
      </c>
      <c r="O189" t="s">
        <v>22</v>
      </c>
      <c r="P189">
        <f t="shared" si="8"/>
        <v>0.42222222222222222</v>
      </c>
      <c r="Q189" t="str">
        <f t="shared" si="6"/>
        <v>Good Profit</v>
      </c>
      <c r="R189" t="str">
        <f t="shared" si="7"/>
        <v>Normal</v>
      </c>
    </row>
    <row r="190" spans="1:18" x14ac:dyDescent="0.25">
      <c r="A190" s="3" t="s">
        <v>260</v>
      </c>
      <c r="B190" s="5">
        <v>45920</v>
      </c>
      <c r="C190" s="3" t="s">
        <v>16</v>
      </c>
      <c r="D190" s="3" t="s">
        <v>17</v>
      </c>
      <c r="E190" s="3" t="s">
        <v>18</v>
      </c>
      <c r="F190" s="3" t="s">
        <v>56</v>
      </c>
      <c r="G190" s="3">
        <v>7</v>
      </c>
      <c r="H190" s="6">
        <v>8900</v>
      </c>
      <c r="I190" s="7">
        <v>0.1</v>
      </c>
      <c r="J190" s="6">
        <v>56070</v>
      </c>
      <c r="K190" s="6">
        <v>44800</v>
      </c>
      <c r="L190" s="6">
        <v>11270</v>
      </c>
      <c r="M190" s="3" t="s">
        <v>34</v>
      </c>
      <c r="N190" s="3" t="s">
        <v>29</v>
      </c>
      <c r="O190" s="3" t="s">
        <v>49</v>
      </c>
      <c r="P190">
        <f t="shared" si="8"/>
        <v>0.2009987515605493</v>
      </c>
      <c r="Q190" t="str">
        <f t="shared" si="6"/>
        <v>Good Profit</v>
      </c>
      <c r="R190" t="str">
        <f t="shared" si="7"/>
        <v>High Value</v>
      </c>
    </row>
    <row r="191" spans="1:18" x14ac:dyDescent="0.25">
      <c r="A191" t="s">
        <v>261</v>
      </c>
      <c r="B191" s="8">
        <v>45843</v>
      </c>
      <c r="C191" t="s">
        <v>24</v>
      </c>
      <c r="D191" t="s">
        <v>25</v>
      </c>
      <c r="E191" t="s">
        <v>26</v>
      </c>
      <c r="F191" t="s">
        <v>27</v>
      </c>
      <c r="G191">
        <v>4</v>
      </c>
      <c r="H191" s="1">
        <v>650</v>
      </c>
      <c r="I191" s="9">
        <v>0.1</v>
      </c>
      <c r="J191" s="1">
        <v>2340</v>
      </c>
      <c r="K191" s="1">
        <v>1520</v>
      </c>
      <c r="L191" s="1">
        <v>820</v>
      </c>
      <c r="M191" t="s">
        <v>61</v>
      </c>
      <c r="N191" t="s">
        <v>29</v>
      </c>
      <c r="O191" t="s">
        <v>22</v>
      </c>
      <c r="P191">
        <f t="shared" si="8"/>
        <v>0.3504273504273504</v>
      </c>
      <c r="Q191" t="str">
        <f t="shared" si="6"/>
        <v>Good Profit</v>
      </c>
      <c r="R191" t="str">
        <f t="shared" si="7"/>
        <v>Normal</v>
      </c>
    </row>
    <row r="192" spans="1:18" x14ac:dyDescent="0.25">
      <c r="A192" s="3" t="s">
        <v>262</v>
      </c>
      <c r="B192" s="5">
        <v>45951</v>
      </c>
      <c r="C192" s="3" t="s">
        <v>31</v>
      </c>
      <c r="D192" s="3" t="s">
        <v>32</v>
      </c>
      <c r="E192" s="3" t="s">
        <v>52</v>
      </c>
      <c r="F192" s="3" t="s">
        <v>73</v>
      </c>
      <c r="G192" s="3">
        <v>8</v>
      </c>
      <c r="H192" s="6">
        <v>450</v>
      </c>
      <c r="I192" s="7">
        <v>0</v>
      </c>
      <c r="J192" s="6">
        <v>3600</v>
      </c>
      <c r="K192" s="6">
        <v>1920</v>
      </c>
      <c r="L192" s="6">
        <v>1680</v>
      </c>
      <c r="M192" s="3" t="s">
        <v>34</v>
      </c>
      <c r="N192" s="3" t="s">
        <v>41</v>
      </c>
      <c r="O192" s="3" t="s">
        <v>36</v>
      </c>
      <c r="P192">
        <f t="shared" si="8"/>
        <v>0.46666666666666667</v>
      </c>
      <c r="Q192" t="str">
        <f t="shared" si="6"/>
        <v>Good Profit</v>
      </c>
      <c r="R192" t="str">
        <f t="shared" si="7"/>
        <v>Normal</v>
      </c>
    </row>
    <row r="193" spans="1:18" x14ac:dyDescent="0.25">
      <c r="A193" t="s">
        <v>263</v>
      </c>
      <c r="B193" s="8">
        <v>45913</v>
      </c>
      <c r="C193" t="s">
        <v>38</v>
      </c>
      <c r="D193" t="s">
        <v>170</v>
      </c>
      <c r="E193" t="s">
        <v>26</v>
      </c>
      <c r="F193" t="s">
        <v>27</v>
      </c>
      <c r="G193">
        <v>1</v>
      </c>
      <c r="H193" s="1">
        <v>650</v>
      </c>
      <c r="I193" s="9">
        <v>0.05</v>
      </c>
      <c r="J193" s="1">
        <v>617.5</v>
      </c>
      <c r="K193" s="1">
        <v>380</v>
      </c>
      <c r="L193" s="1">
        <v>237.5</v>
      </c>
      <c r="M193" t="s">
        <v>28</v>
      </c>
      <c r="N193" t="s">
        <v>35</v>
      </c>
      <c r="O193" t="s">
        <v>22</v>
      </c>
      <c r="P193">
        <f t="shared" si="8"/>
        <v>0.38461538461538464</v>
      </c>
      <c r="Q193" t="str">
        <f t="shared" si="6"/>
        <v>Low Profit</v>
      </c>
      <c r="R193" t="str">
        <f t="shared" si="7"/>
        <v>Normal</v>
      </c>
    </row>
    <row r="194" spans="1:18" x14ac:dyDescent="0.25">
      <c r="A194" s="3" t="s">
        <v>264</v>
      </c>
      <c r="B194" s="5">
        <v>45971</v>
      </c>
      <c r="C194" s="3" t="s">
        <v>16</v>
      </c>
      <c r="D194" s="3" t="s">
        <v>139</v>
      </c>
      <c r="E194" s="3" t="s">
        <v>52</v>
      </c>
      <c r="F194" s="3" t="s">
        <v>53</v>
      </c>
      <c r="G194" s="3">
        <v>8</v>
      </c>
      <c r="H194" s="6">
        <v>90</v>
      </c>
      <c r="I194" s="7">
        <v>0.05</v>
      </c>
      <c r="J194" s="6">
        <v>684</v>
      </c>
      <c r="K194" s="6">
        <v>320</v>
      </c>
      <c r="L194" s="6">
        <v>364</v>
      </c>
      <c r="M194" s="3" t="s">
        <v>54</v>
      </c>
      <c r="N194" s="3" t="s">
        <v>57</v>
      </c>
      <c r="O194" s="3" t="s">
        <v>49</v>
      </c>
      <c r="P194">
        <f t="shared" si="8"/>
        <v>0.53216374269005851</v>
      </c>
      <c r="Q194" t="str">
        <f t="shared" ref="Q194:Q251" si="9">IF(L194&lt;0,"Loss",IF(L194&lt;500,"Low Profit","Good Profit"))</f>
        <v>Low Profit</v>
      </c>
      <c r="R194" t="str">
        <f t="shared" ref="R194:R251" si="10">IF(AND(J194&gt;5000,L194&gt;1000),"High Value","Normal")</f>
        <v>Normal</v>
      </c>
    </row>
    <row r="195" spans="1:18" x14ac:dyDescent="0.25">
      <c r="A195" t="s">
        <v>265</v>
      </c>
      <c r="B195" s="8">
        <v>45702</v>
      </c>
      <c r="C195" t="s">
        <v>16</v>
      </c>
      <c r="D195" t="s">
        <v>60</v>
      </c>
      <c r="E195" t="s">
        <v>26</v>
      </c>
      <c r="F195" t="s">
        <v>33</v>
      </c>
      <c r="G195">
        <v>3</v>
      </c>
      <c r="H195" s="1">
        <v>550</v>
      </c>
      <c r="I195" s="9">
        <v>0.15</v>
      </c>
      <c r="J195" s="1">
        <v>1402.5</v>
      </c>
      <c r="K195" s="1">
        <v>900</v>
      </c>
      <c r="L195" s="1">
        <v>502.5</v>
      </c>
      <c r="M195" t="s">
        <v>54</v>
      </c>
      <c r="N195" t="s">
        <v>41</v>
      </c>
      <c r="O195" t="s">
        <v>22</v>
      </c>
      <c r="P195">
        <f t="shared" ref="P195:P251" si="11">IFERROR(L195/J195,0)</f>
        <v>0.35828877005347592</v>
      </c>
      <c r="Q195" t="str">
        <f t="shared" si="9"/>
        <v>Good Profit</v>
      </c>
      <c r="R195" t="str">
        <f t="shared" si="10"/>
        <v>Normal</v>
      </c>
    </row>
    <row r="196" spans="1:18" x14ac:dyDescent="0.25">
      <c r="A196" s="3" t="s">
        <v>266</v>
      </c>
      <c r="B196" s="5">
        <v>45843</v>
      </c>
      <c r="C196" s="3" t="s">
        <v>16</v>
      </c>
      <c r="D196" s="3" t="s">
        <v>139</v>
      </c>
      <c r="E196" s="3" t="s">
        <v>52</v>
      </c>
      <c r="F196" s="3" t="s">
        <v>64</v>
      </c>
      <c r="G196" s="3">
        <v>12</v>
      </c>
      <c r="H196" s="6">
        <v>120</v>
      </c>
      <c r="I196" s="7">
        <v>0.05</v>
      </c>
      <c r="J196" s="6">
        <v>1368</v>
      </c>
      <c r="K196" s="6">
        <v>660</v>
      </c>
      <c r="L196" s="6">
        <v>708</v>
      </c>
      <c r="M196" s="3" t="s">
        <v>28</v>
      </c>
      <c r="N196" s="3" t="s">
        <v>48</v>
      </c>
      <c r="O196" s="3" t="s">
        <v>49</v>
      </c>
      <c r="P196">
        <f t="shared" si="11"/>
        <v>0.51754385964912286</v>
      </c>
      <c r="Q196" t="str">
        <f t="shared" si="9"/>
        <v>Good Profit</v>
      </c>
      <c r="R196" t="str">
        <f t="shared" si="10"/>
        <v>Normal</v>
      </c>
    </row>
    <row r="197" spans="1:18" x14ac:dyDescent="0.25">
      <c r="A197" t="s">
        <v>267</v>
      </c>
      <c r="B197" s="8">
        <v>45941</v>
      </c>
      <c r="C197" t="s">
        <v>31</v>
      </c>
      <c r="D197" t="s">
        <v>123</v>
      </c>
      <c r="E197" t="s">
        <v>26</v>
      </c>
      <c r="F197" t="s">
        <v>33</v>
      </c>
      <c r="G197">
        <v>1</v>
      </c>
      <c r="H197" s="1">
        <v>550</v>
      </c>
      <c r="I197" s="9">
        <v>0.1</v>
      </c>
      <c r="J197" s="1">
        <v>495</v>
      </c>
      <c r="K197" s="1">
        <v>300</v>
      </c>
      <c r="L197" s="1">
        <v>195</v>
      </c>
      <c r="M197" t="s">
        <v>28</v>
      </c>
      <c r="N197" t="s">
        <v>41</v>
      </c>
      <c r="O197" t="s">
        <v>36</v>
      </c>
      <c r="P197">
        <f t="shared" si="11"/>
        <v>0.39393939393939392</v>
      </c>
      <c r="Q197" t="str">
        <f t="shared" si="9"/>
        <v>Low Profit</v>
      </c>
      <c r="R197" t="str">
        <f t="shared" si="10"/>
        <v>Normal</v>
      </c>
    </row>
    <row r="198" spans="1:18" x14ac:dyDescent="0.25">
      <c r="A198" s="3" t="s">
        <v>268</v>
      </c>
      <c r="B198" s="5">
        <v>45927</v>
      </c>
      <c r="C198" s="3" t="s">
        <v>31</v>
      </c>
      <c r="D198" s="3" t="s">
        <v>79</v>
      </c>
      <c r="E198" s="3" t="s">
        <v>26</v>
      </c>
      <c r="F198" s="3" t="s">
        <v>40</v>
      </c>
      <c r="G198" s="3">
        <v>7</v>
      </c>
      <c r="H198" s="6">
        <v>1800</v>
      </c>
      <c r="I198" s="7">
        <v>0.15</v>
      </c>
      <c r="J198" s="6">
        <v>10710</v>
      </c>
      <c r="K198" s="6">
        <v>8050</v>
      </c>
      <c r="L198" s="6">
        <v>2660</v>
      </c>
      <c r="M198" s="3" t="s">
        <v>61</v>
      </c>
      <c r="N198" s="3" t="s">
        <v>35</v>
      </c>
      <c r="O198" s="3" t="s">
        <v>22</v>
      </c>
      <c r="P198">
        <f t="shared" si="11"/>
        <v>0.24836601307189543</v>
      </c>
      <c r="Q198" t="str">
        <f t="shared" si="9"/>
        <v>Good Profit</v>
      </c>
      <c r="R198" t="str">
        <f t="shared" si="10"/>
        <v>High Value</v>
      </c>
    </row>
    <row r="199" spans="1:18" x14ac:dyDescent="0.25">
      <c r="A199" t="s">
        <v>269</v>
      </c>
      <c r="B199" s="8">
        <v>45896</v>
      </c>
      <c r="C199" t="s">
        <v>16</v>
      </c>
      <c r="D199" t="s">
        <v>60</v>
      </c>
      <c r="E199" t="s">
        <v>52</v>
      </c>
      <c r="F199" t="s">
        <v>53</v>
      </c>
      <c r="G199">
        <v>2</v>
      </c>
      <c r="H199" s="1">
        <v>90</v>
      </c>
      <c r="I199" s="9">
        <v>0.15</v>
      </c>
      <c r="J199" s="1">
        <v>153</v>
      </c>
      <c r="K199" s="1">
        <v>80</v>
      </c>
      <c r="L199" s="1">
        <v>73</v>
      </c>
      <c r="M199" t="s">
        <v>28</v>
      </c>
      <c r="N199" t="s">
        <v>41</v>
      </c>
      <c r="O199" t="s">
        <v>49</v>
      </c>
      <c r="P199">
        <f t="shared" si="11"/>
        <v>0.47712418300653597</v>
      </c>
      <c r="Q199" t="str">
        <f t="shared" si="9"/>
        <v>Low Profit</v>
      </c>
      <c r="R199" t="str">
        <f t="shared" si="10"/>
        <v>Normal</v>
      </c>
    </row>
    <row r="200" spans="1:18" x14ac:dyDescent="0.25">
      <c r="A200" s="3" t="s">
        <v>270</v>
      </c>
      <c r="B200" s="5">
        <v>45923</v>
      </c>
      <c r="C200" s="3" t="s">
        <v>31</v>
      </c>
      <c r="D200" s="3" t="s">
        <v>123</v>
      </c>
      <c r="E200" s="3" t="s">
        <v>52</v>
      </c>
      <c r="F200" s="3" t="s">
        <v>108</v>
      </c>
      <c r="G200" s="3">
        <v>1</v>
      </c>
      <c r="H200" s="6">
        <v>180</v>
      </c>
      <c r="I200" s="7">
        <v>0</v>
      </c>
      <c r="J200" s="6">
        <v>180</v>
      </c>
      <c r="K200" s="6">
        <v>90</v>
      </c>
      <c r="L200" s="6">
        <v>90</v>
      </c>
      <c r="M200" s="3" t="s">
        <v>34</v>
      </c>
      <c r="N200" s="3" t="s">
        <v>45</v>
      </c>
      <c r="O200" s="3" t="s">
        <v>49</v>
      </c>
      <c r="P200">
        <f t="shared" si="11"/>
        <v>0.5</v>
      </c>
      <c r="Q200" t="str">
        <f t="shared" si="9"/>
        <v>Low Profit</v>
      </c>
      <c r="R200" t="str">
        <f t="shared" si="10"/>
        <v>Normal</v>
      </c>
    </row>
    <row r="201" spans="1:18" x14ac:dyDescent="0.25">
      <c r="A201" t="s">
        <v>271</v>
      </c>
      <c r="B201" s="8">
        <v>45803</v>
      </c>
      <c r="C201" t="s">
        <v>31</v>
      </c>
      <c r="D201" t="s">
        <v>100</v>
      </c>
      <c r="E201" t="s">
        <v>18</v>
      </c>
      <c r="F201" t="s">
        <v>75</v>
      </c>
      <c r="G201">
        <v>6</v>
      </c>
      <c r="H201" s="1">
        <v>7800</v>
      </c>
      <c r="I201" s="9">
        <v>0.2</v>
      </c>
      <c r="J201" s="1">
        <v>37440</v>
      </c>
      <c r="K201" s="1">
        <v>33000</v>
      </c>
      <c r="L201" s="1">
        <v>4440</v>
      </c>
      <c r="M201" t="s">
        <v>20</v>
      </c>
      <c r="N201" t="s">
        <v>45</v>
      </c>
      <c r="O201" t="s">
        <v>49</v>
      </c>
      <c r="P201">
        <f t="shared" si="11"/>
        <v>0.11858974358974358</v>
      </c>
      <c r="Q201" t="str">
        <f t="shared" si="9"/>
        <v>Good Profit</v>
      </c>
      <c r="R201" t="str">
        <f t="shared" si="10"/>
        <v>High Value</v>
      </c>
    </row>
    <row r="202" spans="1:18" x14ac:dyDescent="0.25">
      <c r="A202" s="3" t="s">
        <v>272</v>
      </c>
      <c r="B202" s="5">
        <v>45705</v>
      </c>
      <c r="C202" s="3" t="s">
        <v>38</v>
      </c>
      <c r="D202" s="3" t="s">
        <v>39</v>
      </c>
      <c r="E202" s="3" t="s">
        <v>18</v>
      </c>
      <c r="F202" s="3" t="s">
        <v>19</v>
      </c>
      <c r="G202" s="3">
        <v>10</v>
      </c>
      <c r="H202" s="6">
        <v>5400</v>
      </c>
      <c r="I202" s="7">
        <v>0.2</v>
      </c>
      <c r="J202" s="6">
        <v>43200</v>
      </c>
      <c r="K202" s="6">
        <v>36000</v>
      </c>
      <c r="L202" s="6">
        <v>7200</v>
      </c>
      <c r="M202" s="3" t="s">
        <v>28</v>
      </c>
      <c r="N202" s="3" t="s">
        <v>92</v>
      </c>
      <c r="O202" s="3" t="s">
        <v>22</v>
      </c>
      <c r="P202">
        <f t="shared" si="11"/>
        <v>0.16666666666666666</v>
      </c>
      <c r="Q202" t="str">
        <f t="shared" si="9"/>
        <v>Good Profit</v>
      </c>
      <c r="R202" t="str">
        <f t="shared" si="10"/>
        <v>High Value</v>
      </c>
    </row>
    <row r="203" spans="1:18" x14ac:dyDescent="0.25">
      <c r="A203" t="s">
        <v>273</v>
      </c>
      <c r="B203" s="8">
        <v>45830</v>
      </c>
      <c r="C203" t="s">
        <v>31</v>
      </c>
      <c r="D203" t="s">
        <v>123</v>
      </c>
      <c r="E203" t="s">
        <v>18</v>
      </c>
      <c r="F203" t="s">
        <v>69</v>
      </c>
      <c r="G203">
        <v>12</v>
      </c>
      <c r="H203" s="1">
        <v>1600</v>
      </c>
      <c r="I203" s="9">
        <v>0.2</v>
      </c>
      <c r="J203" s="1">
        <v>15360</v>
      </c>
      <c r="K203" s="1">
        <v>11400</v>
      </c>
      <c r="L203" s="1">
        <v>3960</v>
      </c>
      <c r="M203" t="s">
        <v>28</v>
      </c>
      <c r="N203" t="s">
        <v>29</v>
      </c>
      <c r="O203" t="s">
        <v>49</v>
      </c>
      <c r="P203">
        <f t="shared" si="11"/>
        <v>0.2578125</v>
      </c>
      <c r="Q203" t="str">
        <f t="shared" si="9"/>
        <v>Good Profit</v>
      </c>
      <c r="R203" t="str">
        <f t="shared" si="10"/>
        <v>High Value</v>
      </c>
    </row>
    <row r="204" spans="1:18" x14ac:dyDescent="0.25">
      <c r="A204" s="3" t="s">
        <v>274</v>
      </c>
      <c r="B204" s="5">
        <v>45950</v>
      </c>
      <c r="C204" s="3" t="s">
        <v>16</v>
      </c>
      <c r="D204" s="3" t="s">
        <v>17</v>
      </c>
      <c r="E204" s="3" t="s">
        <v>18</v>
      </c>
      <c r="F204" s="3" t="s">
        <v>69</v>
      </c>
      <c r="G204" s="3">
        <v>5</v>
      </c>
      <c r="H204" s="6">
        <v>1600</v>
      </c>
      <c r="I204" s="7">
        <v>0.05</v>
      </c>
      <c r="J204" s="6">
        <v>7600</v>
      </c>
      <c r="K204" s="6">
        <v>4750</v>
      </c>
      <c r="L204" s="6">
        <v>2850</v>
      </c>
      <c r="M204" s="3" t="s">
        <v>61</v>
      </c>
      <c r="N204" s="3" t="s">
        <v>29</v>
      </c>
      <c r="O204" s="3" t="s">
        <v>36</v>
      </c>
      <c r="P204">
        <f t="shared" si="11"/>
        <v>0.375</v>
      </c>
      <c r="Q204" t="str">
        <f t="shared" si="9"/>
        <v>Good Profit</v>
      </c>
      <c r="R204" t="str">
        <f t="shared" si="10"/>
        <v>High Value</v>
      </c>
    </row>
    <row r="205" spans="1:18" x14ac:dyDescent="0.25">
      <c r="A205" t="s">
        <v>275</v>
      </c>
      <c r="B205" s="8">
        <v>45810</v>
      </c>
      <c r="C205" t="s">
        <v>38</v>
      </c>
      <c r="D205" t="s">
        <v>170</v>
      </c>
      <c r="E205" t="s">
        <v>52</v>
      </c>
      <c r="F205" t="s">
        <v>64</v>
      </c>
      <c r="G205">
        <v>11</v>
      </c>
      <c r="H205" s="1">
        <v>120</v>
      </c>
      <c r="I205" s="9">
        <v>0.15</v>
      </c>
      <c r="J205" s="1">
        <v>1122</v>
      </c>
      <c r="K205" s="1">
        <v>605</v>
      </c>
      <c r="L205" s="1">
        <v>517</v>
      </c>
      <c r="M205" t="s">
        <v>61</v>
      </c>
      <c r="N205" t="s">
        <v>21</v>
      </c>
      <c r="O205" t="s">
        <v>22</v>
      </c>
      <c r="P205">
        <f t="shared" si="11"/>
        <v>0.46078431372549017</v>
      </c>
      <c r="Q205" t="str">
        <f t="shared" si="9"/>
        <v>Good Profit</v>
      </c>
      <c r="R205" t="str">
        <f t="shared" si="10"/>
        <v>Normal</v>
      </c>
    </row>
    <row r="206" spans="1:18" x14ac:dyDescent="0.25">
      <c r="A206" s="3" t="s">
        <v>276</v>
      </c>
      <c r="B206" s="5">
        <v>45762</v>
      </c>
      <c r="C206" s="3" t="s">
        <v>16</v>
      </c>
      <c r="D206" s="3" t="s">
        <v>60</v>
      </c>
      <c r="E206" s="3" t="s">
        <v>52</v>
      </c>
      <c r="F206" s="3" t="s">
        <v>97</v>
      </c>
      <c r="G206" s="3">
        <v>8</v>
      </c>
      <c r="H206" s="6">
        <v>380</v>
      </c>
      <c r="I206" s="7">
        <v>0.15</v>
      </c>
      <c r="J206" s="6">
        <v>2584</v>
      </c>
      <c r="K206" s="6">
        <v>2000</v>
      </c>
      <c r="L206" s="6">
        <v>584</v>
      </c>
      <c r="M206" s="3" t="s">
        <v>54</v>
      </c>
      <c r="N206" s="3" t="s">
        <v>92</v>
      </c>
      <c r="O206" s="3" t="s">
        <v>36</v>
      </c>
      <c r="P206">
        <f t="shared" si="11"/>
        <v>0.2260061919504644</v>
      </c>
      <c r="Q206" t="str">
        <f t="shared" si="9"/>
        <v>Good Profit</v>
      </c>
      <c r="R206" t="str">
        <f t="shared" si="10"/>
        <v>Normal</v>
      </c>
    </row>
    <row r="207" spans="1:18" x14ac:dyDescent="0.25">
      <c r="A207" t="s">
        <v>277</v>
      </c>
      <c r="B207" s="8">
        <v>45945</v>
      </c>
      <c r="C207" t="s">
        <v>38</v>
      </c>
      <c r="D207" t="s">
        <v>170</v>
      </c>
      <c r="E207" t="s">
        <v>52</v>
      </c>
      <c r="F207" t="s">
        <v>64</v>
      </c>
      <c r="G207">
        <v>6</v>
      </c>
      <c r="H207" s="1">
        <v>120</v>
      </c>
      <c r="I207" s="9">
        <v>0.2</v>
      </c>
      <c r="J207" s="1">
        <v>576</v>
      </c>
      <c r="K207" s="1">
        <v>330</v>
      </c>
      <c r="L207" s="1">
        <v>246</v>
      </c>
      <c r="M207" t="s">
        <v>20</v>
      </c>
      <c r="N207" t="s">
        <v>41</v>
      </c>
      <c r="O207" t="s">
        <v>49</v>
      </c>
      <c r="P207">
        <f t="shared" si="11"/>
        <v>0.42708333333333331</v>
      </c>
      <c r="Q207" t="str">
        <f t="shared" si="9"/>
        <v>Low Profit</v>
      </c>
      <c r="R207" t="str">
        <f t="shared" si="10"/>
        <v>Normal</v>
      </c>
    </row>
    <row r="208" spans="1:18" x14ac:dyDescent="0.25">
      <c r="A208" s="3" t="s">
        <v>278</v>
      </c>
      <c r="B208" s="5">
        <v>45707</v>
      </c>
      <c r="C208" s="3" t="s">
        <v>24</v>
      </c>
      <c r="D208" s="3" t="s">
        <v>25</v>
      </c>
      <c r="E208" s="3" t="s">
        <v>52</v>
      </c>
      <c r="F208" s="3" t="s">
        <v>97</v>
      </c>
      <c r="G208" s="3">
        <v>4</v>
      </c>
      <c r="H208" s="6">
        <v>380</v>
      </c>
      <c r="I208" s="7">
        <v>0.05</v>
      </c>
      <c r="J208" s="6">
        <v>1444</v>
      </c>
      <c r="K208" s="6">
        <v>1000</v>
      </c>
      <c r="L208" s="6">
        <v>444</v>
      </c>
      <c r="M208" s="3" t="s">
        <v>20</v>
      </c>
      <c r="N208" s="3" t="s">
        <v>45</v>
      </c>
      <c r="O208" s="3" t="s">
        <v>36</v>
      </c>
      <c r="P208">
        <f t="shared" si="11"/>
        <v>0.30747922437673131</v>
      </c>
      <c r="Q208" t="str">
        <f t="shared" si="9"/>
        <v>Low Profit</v>
      </c>
      <c r="R208" t="str">
        <f t="shared" si="10"/>
        <v>Normal</v>
      </c>
    </row>
    <row r="209" spans="1:18" x14ac:dyDescent="0.25">
      <c r="A209" t="s">
        <v>279</v>
      </c>
      <c r="B209" s="8">
        <v>45755</v>
      </c>
      <c r="C209" t="s">
        <v>24</v>
      </c>
      <c r="D209" t="s">
        <v>63</v>
      </c>
      <c r="E209" t="s">
        <v>26</v>
      </c>
      <c r="F209" t="s">
        <v>40</v>
      </c>
      <c r="G209">
        <v>10</v>
      </c>
      <c r="H209" s="1">
        <v>1800</v>
      </c>
      <c r="I209" s="9">
        <v>0.1</v>
      </c>
      <c r="J209" s="1">
        <v>16200</v>
      </c>
      <c r="K209" s="1">
        <v>11500</v>
      </c>
      <c r="L209" s="1">
        <v>4700</v>
      </c>
      <c r="M209" t="s">
        <v>34</v>
      </c>
      <c r="N209" t="s">
        <v>57</v>
      </c>
      <c r="O209" t="s">
        <v>22</v>
      </c>
      <c r="P209">
        <f t="shared" si="11"/>
        <v>0.29012345679012347</v>
      </c>
      <c r="Q209" t="str">
        <f t="shared" si="9"/>
        <v>Good Profit</v>
      </c>
      <c r="R209" t="str">
        <f t="shared" si="10"/>
        <v>High Value</v>
      </c>
    </row>
    <row r="210" spans="1:18" x14ac:dyDescent="0.25">
      <c r="A210" s="3" t="s">
        <v>280</v>
      </c>
      <c r="B210" s="5">
        <v>45859</v>
      </c>
      <c r="C210" s="3" t="s">
        <v>24</v>
      </c>
      <c r="D210" s="3" t="s">
        <v>83</v>
      </c>
      <c r="E210" s="3" t="s">
        <v>52</v>
      </c>
      <c r="F210" s="3" t="s">
        <v>97</v>
      </c>
      <c r="G210" s="3">
        <v>1</v>
      </c>
      <c r="H210" s="6">
        <v>380</v>
      </c>
      <c r="I210" s="7">
        <v>0</v>
      </c>
      <c r="J210" s="6">
        <v>380</v>
      </c>
      <c r="K210" s="6">
        <v>250</v>
      </c>
      <c r="L210" s="6">
        <v>130</v>
      </c>
      <c r="M210" s="3" t="s">
        <v>28</v>
      </c>
      <c r="N210" s="3" t="s">
        <v>57</v>
      </c>
      <c r="O210" s="3" t="s">
        <v>49</v>
      </c>
      <c r="P210">
        <f t="shared" si="11"/>
        <v>0.34210526315789475</v>
      </c>
      <c r="Q210" t="str">
        <f t="shared" si="9"/>
        <v>Low Profit</v>
      </c>
      <c r="R210" t="str">
        <f t="shared" si="10"/>
        <v>Normal</v>
      </c>
    </row>
    <row r="211" spans="1:18" x14ac:dyDescent="0.25">
      <c r="A211" t="s">
        <v>281</v>
      </c>
      <c r="B211" s="8">
        <v>45963</v>
      </c>
      <c r="C211" t="s">
        <v>31</v>
      </c>
      <c r="D211" t="s">
        <v>100</v>
      </c>
      <c r="E211" t="s">
        <v>26</v>
      </c>
      <c r="F211" t="s">
        <v>27</v>
      </c>
      <c r="G211">
        <v>5</v>
      </c>
      <c r="H211" s="1">
        <v>650</v>
      </c>
      <c r="I211" s="9">
        <v>0.15</v>
      </c>
      <c r="J211" s="1">
        <v>2762.5</v>
      </c>
      <c r="K211" s="1">
        <v>1900</v>
      </c>
      <c r="L211" s="1">
        <v>862.5</v>
      </c>
      <c r="M211" t="s">
        <v>61</v>
      </c>
      <c r="N211" t="s">
        <v>45</v>
      </c>
      <c r="O211" t="s">
        <v>22</v>
      </c>
      <c r="P211">
        <f t="shared" si="11"/>
        <v>0.31221719457013575</v>
      </c>
      <c r="Q211" t="str">
        <f t="shared" si="9"/>
        <v>Good Profit</v>
      </c>
      <c r="R211" t="str">
        <f t="shared" si="10"/>
        <v>Normal</v>
      </c>
    </row>
    <row r="212" spans="1:18" x14ac:dyDescent="0.25">
      <c r="A212" s="3" t="s">
        <v>282</v>
      </c>
      <c r="B212" s="5">
        <v>45864</v>
      </c>
      <c r="C212" s="3" t="s">
        <v>16</v>
      </c>
      <c r="D212" s="3" t="s">
        <v>17</v>
      </c>
      <c r="E212" s="3" t="s">
        <v>52</v>
      </c>
      <c r="F212" s="3" t="s">
        <v>64</v>
      </c>
      <c r="G212" s="3">
        <v>5</v>
      </c>
      <c r="H212" s="6">
        <v>120</v>
      </c>
      <c r="I212" s="7">
        <v>0.1</v>
      </c>
      <c r="J212" s="6">
        <v>540</v>
      </c>
      <c r="K212" s="6">
        <v>275</v>
      </c>
      <c r="L212" s="6">
        <v>265</v>
      </c>
      <c r="M212" s="3" t="s">
        <v>54</v>
      </c>
      <c r="N212" s="3" t="s">
        <v>29</v>
      </c>
      <c r="O212" s="3" t="s">
        <v>36</v>
      </c>
      <c r="P212">
        <f t="shared" si="11"/>
        <v>0.49074074074074076</v>
      </c>
      <c r="Q212" t="str">
        <f t="shared" si="9"/>
        <v>Low Profit</v>
      </c>
      <c r="R212" t="str">
        <f t="shared" si="10"/>
        <v>Normal</v>
      </c>
    </row>
    <row r="213" spans="1:18" x14ac:dyDescent="0.25">
      <c r="A213" t="s">
        <v>283</v>
      </c>
      <c r="B213" s="8">
        <v>45855</v>
      </c>
      <c r="C213" t="s">
        <v>16</v>
      </c>
      <c r="D213" t="s">
        <v>60</v>
      </c>
      <c r="E213" t="s">
        <v>52</v>
      </c>
      <c r="F213" t="s">
        <v>108</v>
      </c>
      <c r="G213">
        <v>5</v>
      </c>
      <c r="H213" s="1">
        <v>180</v>
      </c>
      <c r="I213" s="9">
        <v>0</v>
      </c>
      <c r="J213" s="1">
        <v>900</v>
      </c>
      <c r="K213" s="1">
        <v>450</v>
      </c>
      <c r="L213" s="1">
        <v>450</v>
      </c>
      <c r="M213" t="s">
        <v>28</v>
      </c>
      <c r="N213" t="s">
        <v>57</v>
      </c>
      <c r="O213" t="s">
        <v>22</v>
      </c>
      <c r="P213">
        <f t="shared" si="11"/>
        <v>0.5</v>
      </c>
      <c r="Q213" t="str">
        <f t="shared" si="9"/>
        <v>Low Profit</v>
      </c>
      <c r="R213" t="str">
        <f t="shared" si="10"/>
        <v>Normal</v>
      </c>
    </row>
    <row r="214" spans="1:18" x14ac:dyDescent="0.25">
      <c r="A214" s="3" t="s">
        <v>284</v>
      </c>
      <c r="B214" s="5">
        <v>45831</v>
      </c>
      <c r="C214" s="3" t="s">
        <v>38</v>
      </c>
      <c r="D214" s="3" t="s">
        <v>43</v>
      </c>
      <c r="E214" s="3" t="s">
        <v>26</v>
      </c>
      <c r="F214" s="3" t="s">
        <v>27</v>
      </c>
      <c r="G214" s="3">
        <v>7</v>
      </c>
      <c r="H214" s="6">
        <v>650</v>
      </c>
      <c r="I214" s="7">
        <v>0.1</v>
      </c>
      <c r="J214" s="6">
        <v>4095</v>
      </c>
      <c r="K214" s="6">
        <v>2660</v>
      </c>
      <c r="L214" s="6">
        <v>1435</v>
      </c>
      <c r="M214" s="3" t="s">
        <v>28</v>
      </c>
      <c r="N214" s="3" t="s">
        <v>41</v>
      </c>
      <c r="O214" s="3" t="s">
        <v>49</v>
      </c>
      <c r="P214">
        <f t="shared" si="11"/>
        <v>0.3504273504273504</v>
      </c>
      <c r="Q214" t="str">
        <f t="shared" si="9"/>
        <v>Good Profit</v>
      </c>
      <c r="R214" t="str">
        <f t="shared" si="10"/>
        <v>Normal</v>
      </c>
    </row>
    <row r="215" spans="1:18" x14ac:dyDescent="0.25">
      <c r="A215" t="s">
        <v>285</v>
      </c>
      <c r="B215" s="8">
        <v>45728</v>
      </c>
      <c r="C215" t="s">
        <v>31</v>
      </c>
      <c r="D215" t="s">
        <v>32</v>
      </c>
      <c r="E215" t="s">
        <v>18</v>
      </c>
      <c r="F215" t="s">
        <v>47</v>
      </c>
      <c r="G215">
        <v>1</v>
      </c>
      <c r="H215" s="1">
        <v>6200</v>
      </c>
      <c r="I215" s="9">
        <v>0</v>
      </c>
      <c r="J215" s="1">
        <v>6200</v>
      </c>
      <c r="K215" s="1">
        <v>4300</v>
      </c>
      <c r="L215" s="1">
        <v>1900</v>
      </c>
      <c r="M215" t="s">
        <v>54</v>
      </c>
      <c r="N215" t="s">
        <v>57</v>
      </c>
      <c r="O215" t="s">
        <v>22</v>
      </c>
      <c r="P215">
        <f t="shared" si="11"/>
        <v>0.30645161290322581</v>
      </c>
      <c r="Q215" t="str">
        <f t="shared" si="9"/>
        <v>Good Profit</v>
      </c>
      <c r="R215" t="str">
        <f t="shared" si="10"/>
        <v>High Value</v>
      </c>
    </row>
    <row r="216" spans="1:18" x14ac:dyDescent="0.25">
      <c r="A216" s="3" t="s">
        <v>286</v>
      </c>
      <c r="B216" s="5">
        <v>45971</v>
      </c>
      <c r="C216" s="3" t="s">
        <v>24</v>
      </c>
      <c r="D216" s="3" t="s">
        <v>63</v>
      </c>
      <c r="E216" s="3" t="s">
        <v>18</v>
      </c>
      <c r="F216" s="3" t="s">
        <v>69</v>
      </c>
      <c r="G216" s="3">
        <v>3</v>
      </c>
      <c r="H216" s="6">
        <v>1600</v>
      </c>
      <c r="I216" s="7">
        <v>0.1</v>
      </c>
      <c r="J216" s="6">
        <v>4320</v>
      </c>
      <c r="K216" s="6">
        <v>2850</v>
      </c>
      <c r="L216" s="6">
        <v>1470</v>
      </c>
      <c r="M216" s="3" t="s">
        <v>54</v>
      </c>
      <c r="N216" s="3" t="s">
        <v>92</v>
      </c>
      <c r="O216" s="3" t="s">
        <v>36</v>
      </c>
      <c r="P216">
        <f t="shared" si="11"/>
        <v>0.34027777777777779</v>
      </c>
      <c r="Q216" t="str">
        <f t="shared" si="9"/>
        <v>Good Profit</v>
      </c>
      <c r="R216" t="str">
        <f t="shared" si="10"/>
        <v>Normal</v>
      </c>
    </row>
    <row r="217" spans="1:18" x14ac:dyDescent="0.25">
      <c r="A217" t="s">
        <v>287</v>
      </c>
      <c r="B217" s="8">
        <v>46020</v>
      </c>
      <c r="C217" t="s">
        <v>38</v>
      </c>
      <c r="D217" t="s">
        <v>170</v>
      </c>
      <c r="E217" t="s">
        <v>18</v>
      </c>
      <c r="F217" t="s">
        <v>69</v>
      </c>
      <c r="G217">
        <v>9</v>
      </c>
      <c r="H217" s="1">
        <v>1600</v>
      </c>
      <c r="I217" s="9">
        <v>0.15</v>
      </c>
      <c r="J217" s="1">
        <v>12240</v>
      </c>
      <c r="K217" s="1">
        <v>8550</v>
      </c>
      <c r="L217" s="1">
        <v>3690</v>
      </c>
      <c r="M217" t="s">
        <v>28</v>
      </c>
      <c r="N217" t="s">
        <v>45</v>
      </c>
      <c r="O217" t="s">
        <v>36</v>
      </c>
      <c r="P217">
        <f t="shared" si="11"/>
        <v>0.3014705882352941</v>
      </c>
      <c r="Q217" t="str">
        <f t="shared" si="9"/>
        <v>Good Profit</v>
      </c>
      <c r="R217" t="str">
        <f t="shared" si="10"/>
        <v>High Value</v>
      </c>
    </row>
    <row r="218" spans="1:18" x14ac:dyDescent="0.25">
      <c r="A218" s="3" t="s">
        <v>288</v>
      </c>
      <c r="B218" s="5">
        <v>45956</v>
      </c>
      <c r="C218" s="3" t="s">
        <v>16</v>
      </c>
      <c r="D218" s="3" t="s">
        <v>139</v>
      </c>
      <c r="E218" s="3" t="s">
        <v>52</v>
      </c>
      <c r="F218" s="3" t="s">
        <v>53</v>
      </c>
      <c r="G218" s="3">
        <v>2</v>
      </c>
      <c r="H218" s="6">
        <v>90</v>
      </c>
      <c r="I218" s="7">
        <v>0.15</v>
      </c>
      <c r="J218" s="6">
        <v>153</v>
      </c>
      <c r="K218" s="6">
        <v>80</v>
      </c>
      <c r="L218" s="6">
        <v>73</v>
      </c>
      <c r="M218" s="3" t="s">
        <v>54</v>
      </c>
      <c r="N218" s="3" t="s">
        <v>29</v>
      </c>
      <c r="O218" s="3" t="s">
        <v>22</v>
      </c>
      <c r="P218">
        <f t="shared" si="11"/>
        <v>0.47712418300653597</v>
      </c>
      <c r="Q218" t="str">
        <f t="shared" si="9"/>
        <v>Low Profit</v>
      </c>
      <c r="R218" t="str">
        <f t="shared" si="10"/>
        <v>Normal</v>
      </c>
    </row>
    <row r="219" spans="1:18" x14ac:dyDescent="0.25">
      <c r="A219" t="s">
        <v>289</v>
      </c>
      <c r="B219" s="8">
        <v>45684</v>
      </c>
      <c r="C219" t="s">
        <v>24</v>
      </c>
      <c r="D219" t="s">
        <v>51</v>
      </c>
      <c r="E219" t="s">
        <v>18</v>
      </c>
      <c r="F219" t="s">
        <v>69</v>
      </c>
      <c r="G219">
        <v>10</v>
      </c>
      <c r="H219" s="1">
        <v>1600</v>
      </c>
      <c r="I219" s="9">
        <v>0.05</v>
      </c>
      <c r="J219" s="1">
        <v>15200</v>
      </c>
      <c r="K219" s="1">
        <v>9500</v>
      </c>
      <c r="L219" s="1">
        <v>5700</v>
      </c>
      <c r="M219" t="s">
        <v>28</v>
      </c>
      <c r="N219" t="s">
        <v>57</v>
      </c>
      <c r="O219" t="s">
        <v>49</v>
      </c>
      <c r="P219">
        <f t="shared" si="11"/>
        <v>0.375</v>
      </c>
      <c r="Q219" t="str">
        <f t="shared" si="9"/>
        <v>Good Profit</v>
      </c>
      <c r="R219" t="str">
        <f t="shared" si="10"/>
        <v>High Value</v>
      </c>
    </row>
    <row r="220" spans="1:18" x14ac:dyDescent="0.25">
      <c r="A220" s="3" t="s">
        <v>290</v>
      </c>
      <c r="B220" s="5">
        <v>46016</v>
      </c>
      <c r="C220" s="3" t="s">
        <v>24</v>
      </c>
      <c r="D220" s="3" t="s">
        <v>63</v>
      </c>
      <c r="E220" s="3" t="s">
        <v>18</v>
      </c>
      <c r="F220" s="3" t="s">
        <v>75</v>
      </c>
      <c r="G220" s="3">
        <v>1</v>
      </c>
      <c r="H220" s="6">
        <v>7800</v>
      </c>
      <c r="I220" s="7">
        <v>0.2</v>
      </c>
      <c r="J220" s="6">
        <v>6240</v>
      </c>
      <c r="K220" s="6">
        <v>5500</v>
      </c>
      <c r="L220" s="6">
        <v>740</v>
      </c>
      <c r="M220" s="3" t="s">
        <v>20</v>
      </c>
      <c r="N220" s="3" t="s">
        <v>48</v>
      </c>
      <c r="O220" s="3" t="s">
        <v>49</v>
      </c>
      <c r="P220" s="16">
        <f t="shared" si="11"/>
        <v>0.11858974358974358</v>
      </c>
      <c r="Q220" t="str">
        <f t="shared" si="9"/>
        <v>Good Profit</v>
      </c>
      <c r="R220" t="str">
        <f t="shared" si="10"/>
        <v>Normal</v>
      </c>
    </row>
    <row r="221" spans="1:18" x14ac:dyDescent="0.25">
      <c r="A221" t="s">
        <v>291</v>
      </c>
      <c r="B221" s="8">
        <v>45868</v>
      </c>
      <c r="C221" t="s">
        <v>24</v>
      </c>
      <c r="D221" t="s">
        <v>51</v>
      </c>
      <c r="E221" t="s">
        <v>52</v>
      </c>
      <c r="F221" t="s">
        <v>64</v>
      </c>
      <c r="G221">
        <v>7</v>
      </c>
      <c r="H221" s="1">
        <v>120</v>
      </c>
      <c r="I221" s="9">
        <v>0.05</v>
      </c>
      <c r="J221" s="1">
        <v>798</v>
      </c>
      <c r="K221" s="1">
        <v>385</v>
      </c>
      <c r="L221" s="1">
        <v>413</v>
      </c>
      <c r="M221" t="s">
        <v>28</v>
      </c>
      <c r="N221" t="s">
        <v>57</v>
      </c>
      <c r="O221" t="s">
        <v>22</v>
      </c>
      <c r="P221" s="16">
        <f t="shared" si="11"/>
        <v>0.51754385964912286</v>
      </c>
      <c r="Q221" t="str">
        <f t="shared" si="9"/>
        <v>Low Profit</v>
      </c>
      <c r="R221" t="str">
        <f t="shared" si="10"/>
        <v>Normal</v>
      </c>
    </row>
    <row r="222" spans="1:18" x14ac:dyDescent="0.25">
      <c r="A222" s="3" t="s">
        <v>292</v>
      </c>
      <c r="B222" s="5">
        <v>45997</v>
      </c>
      <c r="C222" s="3" t="s">
        <v>16</v>
      </c>
      <c r="D222" s="3" t="s">
        <v>60</v>
      </c>
      <c r="E222" s="3" t="s">
        <v>18</v>
      </c>
      <c r="F222" s="3" t="s">
        <v>75</v>
      </c>
      <c r="G222" s="3">
        <v>9</v>
      </c>
      <c r="H222" s="6">
        <v>7800</v>
      </c>
      <c r="I222" s="7">
        <v>0.1</v>
      </c>
      <c r="J222" s="6">
        <v>63180</v>
      </c>
      <c r="K222" s="6">
        <v>49500</v>
      </c>
      <c r="L222" s="6">
        <v>13680</v>
      </c>
      <c r="M222" s="3" t="s">
        <v>61</v>
      </c>
      <c r="N222" s="3" t="s">
        <v>35</v>
      </c>
      <c r="O222" s="3" t="s">
        <v>36</v>
      </c>
      <c r="P222" s="16">
        <f t="shared" si="11"/>
        <v>0.21652421652421652</v>
      </c>
      <c r="Q222" t="str">
        <f t="shared" si="9"/>
        <v>Good Profit</v>
      </c>
      <c r="R222" t="str">
        <f t="shared" si="10"/>
        <v>High Value</v>
      </c>
    </row>
    <row r="223" spans="1:18" x14ac:dyDescent="0.25">
      <c r="A223" t="s">
        <v>293</v>
      </c>
      <c r="B223" s="8">
        <v>46004</v>
      </c>
      <c r="C223" t="s">
        <v>31</v>
      </c>
      <c r="D223" t="s">
        <v>32</v>
      </c>
      <c r="E223" t="s">
        <v>18</v>
      </c>
      <c r="F223" t="s">
        <v>19</v>
      </c>
      <c r="G223">
        <v>9</v>
      </c>
      <c r="H223" s="1">
        <v>5400</v>
      </c>
      <c r="I223" s="9">
        <v>0.1</v>
      </c>
      <c r="J223" s="1">
        <v>43740</v>
      </c>
      <c r="K223" s="1">
        <v>32400</v>
      </c>
      <c r="L223" s="1">
        <v>11340</v>
      </c>
      <c r="M223" t="s">
        <v>54</v>
      </c>
      <c r="N223" t="s">
        <v>57</v>
      </c>
      <c r="O223" t="s">
        <v>49</v>
      </c>
      <c r="P223" s="16">
        <f t="shared" si="11"/>
        <v>0.25925925925925924</v>
      </c>
      <c r="Q223" t="str">
        <f t="shared" si="9"/>
        <v>Good Profit</v>
      </c>
      <c r="R223" t="str">
        <f t="shared" si="10"/>
        <v>High Value</v>
      </c>
    </row>
    <row r="224" spans="1:18" x14ac:dyDescent="0.25">
      <c r="A224" s="3" t="s">
        <v>294</v>
      </c>
      <c r="B224" s="5">
        <v>45805</v>
      </c>
      <c r="C224" s="3" t="s">
        <v>31</v>
      </c>
      <c r="D224" s="3" t="s">
        <v>100</v>
      </c>
      <c r="E224" s="3" t="s">
        <v>18</v>
      </c>
      <c r="F224" s="3" t="s">
        <v>19</v>
      </c>
      <c r="G224" s="3">
        <v>4</v>
      </c>
      <c r="H224" s="6">
        <v>5400</v>
      </c>
      <c r="I224" s="7">
        <v>0.1</v>
      </c>
      <c r="J224" s="6">
        <v>19440</v>
      </c>
      <c r="K224" s="6">
        <v>14400</v>
      </c>
      <c r="L224" s="6">
        <v>5040</v>
      </c>
      <c r="M224" s="3" t="s">
        <v>34</v>
      </c>
      <c r="N224" s="3" t="s">
        <v>57</v>
      </c>
      <c r="O224" s="3" t="s">
        <v>36</v>
      </c>
      <c r="P224" s="16">
        <f t="shared" si="11"/>
        <v>0.25925925925925924</v>
      </c>
      <c r="Q224" t="str">
        <f t="shared" si="9"/>
        <v>Good Profit</v>
      </c>
      <c r="R224" t="str">
        <f t="shared" si="10"/>
        <v>High Value</v>
      </c>
    </row>
    <row r="225" spans="1:18" x14ac:dyDescent="0.25">
      <c r="A225" t="s">
        <v>295</v>
      </c>
      <c r="B225" s="8">
        <v>45720</v>
      </c>
      <c r="C225" t="s">
        <v>24</v>
      </c>
      <c r="D225" t="s">
        <v>51</v>
      </c>
      <c r="E225" t="s">
        <v>18</v>
      </c>
      <c r="F225" t="s">
        <v>56</v>
      </c>
      <c r="G225">
        <v>5</v>
      </c>
      <c r="H225" s="1">
        <v>8900</v>
      </c>
      <c r="I225" s="9">
        <v>0.1</v>
      </c>
      <c r="J225" s="1">
        <v>40050</v>
      </c>
      <c r="K225" s="1">
        <v>32000</v>
      </c>
      <c r="L225" s="1">
        <v>8050</v>
      </c>
      <c r="M225" t="s">
        <v>28</v>
      </c>
      <c r="N225" t="s">
        <v>35</v>
      </c>
      <c r="O225" t="s">
        <v>36</v>
      </c>
      <c r="P225" s="16">
        <f t="shared" si="11"/>
        <v>0.2009987515605493</v>
      </c>
      <c r="Q225" t="str">
        <f t="shared" si="9"/>
        <v>Good Profit</v>
      </c>
      <c r="R225" t="str">
        <f t="shared" si="10"/>
        <v>High Value</v>
      </c>
    </row>
    <row r="226" spans="1:18" x14ac:dyDescent="0.25">
      <c r="A226" s="3" t="s">
        <v>296</v>
      </c>
      <c r="B226" s="5">
        <v>45835</v>
      </c>
      <c r="C226" s="3" t="s">
        <v>38</v>
      </c>
      <c r="D226" s="3" t="s">
        <v>39</v>
      </c>
      <c r="E226" s="3" t="s">
        <v>52</v>
      </c>
      <c r="F226" s="3" t="s">
        <v>88</v>
      </c>
      <c r="G226" s="3">
        <v>5</v>
      </c>
      <c r="H226" s="6">
        <v>250</v>
      </c>
      <c r="I226" s="7">
        <v>0</v>
      </c>
      <c r="J226" s="6">
        <v>1250</v>
      </c>
      <c r="K226" s="6">
        <v>650</v>
      </c>
      <c r="L226" s="6">
        <v>600</v>
      </c>
      <c r="M226" s="3" t="s">
        <v>61</v>
      </c>
      <c r="N226" s="3" t="s">
        <v>45</v>
      </c>
      <c r="O226" s="3" t="s">
        <v>22</v>
      </c>
      <c r="P226" s="16">
        <f t="shared" si="11"/>
        <v>0.48</v>
      </c>
      <c r="Q226" t="str">
        <f t="shared" si="9"/>
        <v>Good Profit</v>
      </c>
      <c r="R226" t="str">
        <f t="shared" si="10"/>
        <v>Normal</v>
      </c>
    </row>
    <row r="227" spans="1:18" x14ac:dyDescent="0.25">
      <c r="A227" t="s">
        <v>297</v>
      </c>
      <c r="B227" s="8">
        <v>46014</v>
      </c>
      <c r="C227" t="s">
        <v>24</v>
      </c>
      <c r="D227" t="s">
        <v>63</v>
      </c>
      <c r="E227" t="s">
        <v>26</v>
      </c>
      <c r="F227" t="s">
        <v>94</v>
      </c>
      <c r="G227">
        <v>5</v>
      </c>
      <c r="H227" s="1">
        <v>9500</v>
      </c>
      <c r="I227" s="9">
        <v>0.2</v>
      </c>
      <c r="J227" s="1">
        <v>38000</v>
      </c>
      <c r="K227" s="1">
        <v>36000</v>
      </c>
      <c r="L227" s="1">
        <v>2000</v>
      </c>
      <c r="M227" t="s">
        <v>54</v>
      </c>
      <c r="N227" t="s">
        <v>92</v>
      </c>
      <c r="O227" t="s">
        <v>49</v>
      </c>
      <c r="P227" s="16">
        <f t="shared" si="11"/>
        <v>5.2631578947368418E-2</v>
      </c>
      <c r="Q227" t="str">
        <f t="shared" si="9"/>
        <v>Good Profit</v>
      </c>
      <c r="R227" t="str">
        <f t="shared" si="10"/>
        <v>High Value</v>
      </c>
    </row>
    <row r="228" spans="1:18" x14ac:dyDescent="0.25">
      <c r="A228" s="3" t="s">
        <v>298</v>
      </c>
      <c r="B228" s="5">
        <v>45984</v>
      </c>
      <c r="C228" s="3" t="s">
        <v>31</v>
      </c>
      <c r="D228" s="3" t="s">
        <v>123</v>
      </c>
      <c r="E228" s="3" t="s">
        <v>26</v>
      </c>
      <c r="F228" s="3" t="s">
        <v>80</v>
      </c>
      <c r="G228" s="3">
        <v>9</v>
      </c>
      <c r="H228" s="6">
        <v>1200</v>
      </c>
      <c r="I228" s="7">
        <v>0.05</v>
      </c>
      <c r="J228" s="6">
        <v>10260</v>
      </c>
      <c r="K228" s="6">
        <v>6300</v>
      </c>
      <c r="L228" s="6">
        <v>3960</v>
      </c>
      <c r="M228" s="3" t="s">
        <v>34</v>
      </c>
      <c r="N228" s="3" t="s">
        <v>29</v>
      </c>
      <c r="O228" s="3" t="s">
        <v>49</v>
      </c>
      <c r="P228" s="16">
        <f t="shared" si="11"/>
        <v>0.38596491228070173</v>
      </c>
      <c r="Q228" t="str">
        <f t="shared" si="9"/>
        <v>Good Profit</v>
      </c>
      <c r="R228" t="str">
        <f t="shared" si="10"/>
        <v>High Value</v>
      </c>
    </row>
    <row r="229" spans="1:18" x14ac:dyDescent="0.25">
      <c r="A229" t="s">
        <v>299</v>
      </c>
      <c r="B229" s="8">
        <v>45660</v>
      </c>
      <c r="C229" t="s">
        <v>24</v>
      </c>
      <c r="D229" t="s">
        <v>51</v>
      </c>
      <c r="E229" t="s">
        <v>18</v>
      </c>
      <c r="F229" t="s">
        <v>44</v>
      </c>
      <c r="G229">
        <v>2</v>
      </c>
      <c r="H229" s="1">
        <v>950</v>
      </c>
      <c r="I229" s="9">
        <v>0.05</v>
      </c>
      <c r="J229" s="1">
        <v>1805</v>
      </c>
      <c r="K229" s="1">
        <v>1040</v>
      </c>
      <c r="L229" s="1">
        <v>765</v>
      </c>
      <c r="M229" t="s">
        <v>28</v>
      </c>
      <c r="N229" t="s">
        <v>92</v>
      </c>
      <c r="O229" t="s">
        <v>36</v>
      </c>
      <c r="P229" s="16">
        <f t="shared" si="11"/>
        <v>0.42382271468144045</v>
      </c>
      <c r="Q229" t="str">
        <f t="shared" si="9"/>
        <v>Good Profit</v>
      </c>
      <c r="R229" t="str">
        <f t="shared" si="10"/>
        <v>Normal</v>
      </c>
    </row>
    <row r="230" spans="1:18" x14ac:dyDescent="0.25">
      <c r="A230" s="3" t="s">
        <v>300</v>
      </c>
      <c r="B230" s="5">
        <v>45804</v>
      </c>
      <c r="C230" s="3" t="s">
        <v>24</v>
      </c>
      <c r="D230" s="3" t="s">
        <v>83</v>
      </c>
      <c r="E230" s="3" t="s">
        <v>18</v>
      </c>
      <c r="F230" s="3" t="s">
        <v>75</v>
      </c>
      <c r="G230" s="3">
        <v>5</v>
      </c>
      <c r="H230" s="6">
        <v>7800</v>
      </c>
      <c r="I230" s="7">
        <v>0.1</v>
      </c>
      <c r="J230" s="6">
        <v>35100</v>
      </c>
      <c r="K230" s="6">
        <v>27500</v>
      </c>
      <c r="L230" s="6">
        <v>7600</v>
      </c>
      <c r="M230" s="3" t="s">
        <v>20</v>
      </c>
      <c r="N230" s="3" t="s">
        <v>21</v>
      </c>
      <c r="O230" s="3" t="s">
        <v>22</v>
      </c>
      <c r="P230" s="16">
        <f t="shared" si="11"/>
        <v>0.21652421652421652</v>
      </c>
      <c r="Q230" t="str">
        <f t="shared" si="9"/>
        <v>Good Profit</v>
      </c>
      <c r="R230" t="str">
        <f t="shared" si="10"/>
        <v>High Value</v>
      </c>
    </row>
    <row r="231" spans="1:18" x14ac:dyDescent="0.25">
      <c r="A231" t="s">
        <v>301</v>
      </c>
      <c r="B231" s="8">
        <v>45861</v>
      </c>
      <c r="C231" t="s">
        <v>31</v>
      </c>
      <c r="D231" t="s">
        <v>79</v>
      </c>
      <c r="E231" t="s">
        <v>26</v>
      </c>
      <c r="F231" t="s">
        <v>33</v>
      </c>
      <c r="G231">
        <v>3</v>
      </c>
      <c r="H231" s="1">
        <v>550</v>
      </c>
      <c r="I231" s="9">
        <v>0</v>
      </c>
      <c r="J231" s="1">
        <v>1650</v>
      </c>
      <c r="K231" s="1">
        <v>900</v>
      </c>
      <c r="L231" s="1">
        <v>750</v>
      </c>
      <c r="M231" t="s">
        <v>61</v>
      </c>
      <c r="N231" t="s">
        <v>92</v>
      </c>
      <c r="O231" t="s">
        <v>22</v>
      </c>
      <c r="P231" s="16">
        <f t="shared" si="11"/>
        <v>0.45454545454545453</v>
      </c>
      <c r="Q231" t="str">
        <f t="shared" si="9"/>
        <v>Good Profit</v>
      </c>
      <c r="R231" t="str">
        <f t="shared" si="10"/>
        <v>Normal</v>
      </c>
    </row>
    <row r="232" spans="1:18" x14ac:dyDescent="0.25">
      <c r="A232" s="3" t="s">
        <v>302</v>
      </c>
      <c r="B232" s="5">
        <v>45712</v>
      </c>
      <c r="C232" s="3" t="s">
        <v>38</v>
      </c>
      <c r="D232" s="3" t="s">
        <v>43</v>
      </c>
      <c r="E232" s="3" t="s">
        <v>26</v>
      </c>
      <c r="F232" s="3" t="s">
        <v>40</v>
      </c>
      <c r="G232" s="3">
        <v>10</v>
      </c>
      <c r="H232" s="6">
        <v>1800</v>
      </c>
      <c r="I232" s="7">
        <v>0.2</v>
      </c>
      <c r="J232" s="6">
        <v>14400</v>
      </c>
      <c r="K232" s="6">
        <v>11500</v>
      </c>
      <c r="L232" s="6">
        <v>2900</v>
      </c>
      <c r="M232" s="3" t="s">
        <v>54</v>
      </c>
      <c r="N232" s="3" t="s">
        <v>45</v>
      </c>
      <c r="O232" s="3" t="s">
        <v>36</v>
      </c>
      <c r="P232" s="16">
        <f t="shared" si="11"/>
        <v>0.2013888888888889</v>
      </c>
      <c r="Q232" t="str">
        <f t="shared" si="9"/>
        <v>Good Profit</v>
      </c>
      <c r="R232" t="str">
        <f t="shared" si="10"/>
        <v>High Value</v>
      </c>
    </row>
    <row r="233" spans="1:18" x14ac:dyDescent="0.25">
      <c r="A233" t="s">
        <v>303</v>
      </c>
      <c r="B233" s="8">
        <v>45715</v>
      </c>
      <c r="C233" t="s">
        <v>24</v>
      </c>
      <c r="D233" t="s">
        <v>63</v>
      </c>
      <c r="E233" t="s">
        <v>18</v>
      </c>
      <c r="F233" t="s">
        <v>44</v>
      </c>
      <c r="G233">
        <v>5</v>
      </c>
      <c r="H233" s="1">
        <v>950</v>
      </c>
      <c r="I233" s="9">
        <v>0.05</v>
      </c>
      <c r="J233" s="1">
        <v>4512.5</v>
      </c>
      <c r="K233" s="1">
        <v>2600</v>
      </c>
      <c r="L233" s="1">
        <v>1912.5</v>
      </c>
      <c r="M233" t="s">
        <v>54</v>
      </c>
      <c r="N233" t="s">
        <v>92</v>
      </c>
      <c r="O233" t="s">
        <v>22</v>
      </c>
      <c r="P233" s="16">
        <f t="shared" si="11"/>
        <v>0.42382271468144045</v>
      </c>
      <c r="Q233" t="str">
        <f t="shared" si="9"/>
        <v>Good Profit</v>
      </c>
      <c r="R233" t="str">
        <f t="shared" si="10"/>
        <v>Normal</v>
      </c>
    </row>
    <row r="234" spans="1:18" x14ac:dyDescent="0.25">
      <c r="A234" s="3" t="s">
        <v>304</v>
      </c>
      <c r="B234" s="5">
        <v>45809</v>
      </c>
      <c r="C234" s="3" t="s">
        <v>24</v>
      </c>
      <c r="D234" s="3" t="s">
        <v>51</v>
      </c>
      <c r="E234" s="3" t="s">
        <v>18</v>
      </c>
      <c r="F234" s="3" t="s">
        <v>75</v>
      </c>
      <c r="G234" s="3">
        <v>1</v>
      </c>
      <c r="H234" s="6">
        <v>7800</v>
      </c>
      <c r="I234" s="7">
        <v>0.1</v>
      </c>
      <c r="J234" s="6">
        <v>7020</v>
      </c>
      <c r="K234" s="6">
        <v>5500</v>
      </c>
      <c r="L234" s="6">
        <v>1520</v>
      </c>
      <c r="M234" s="3" t="s">
        <v>28</v>
      </c>
      <c r="N234" s="3" t="s">
        <v>48</v>
      </c>
      <c r="O234" s="3" t="s">
        <v>49</v>
      </c>
      <c r="P234" s="16">
        <f t="shared" si="11"/>
        <v>0.21652421652421652</v>
      </c>
      <c r="Q234" t="str">
        <f t="shared" si="9"/>
        <v>Good Profit</v>
      </c>
      <c r="R234" t="str">
        <f t="shared" si="10"/>
        <v>High Value</v>
      </c>
    </row>
    <row r="235" spans="1:18" x14ac:dyDescent="0.25">
      <c r="A235" t="s">
        <v>305</v>
      </c>
      <c r="B235" s="8">
        <v>46000</v>
      </c>
      <c r="C235" t="s">
        <v>24</v>
      </c>
      <c r="D235" t="s">
        <v>83</v>
      </c>
      <c r="E235" t="s">
        <v>18</v>
      </c>
      <c r="F235" t="s">
        <v>19</v>
      </c>
      <c r="G235">
        <v>2</v>
      </c>
      <c r="H235" s="1">
        <v>5400</v>
      </c>
      <c r="I235" s="9">
        <v>0.15</v>
      </c>
      <c r="J235" s="1">
        <v>9180</v>
      </c>
      <c r="K235" s="1">
        <v>7200</v>
      </c>
      <c r="L235" s="1">
        <v>1980</v>
      </c>
      <c r="M235" t="s">
        <v>20</v>
      </c>
      <c r="N235" t="s">
        <v>92</v>
      </c>
      <c r="O235" t="s">
        <v>49</v>
      </c>
      <c r="P235" s="16">
        <f t="shared" si="11"/>
        <v>0.21568627450980393</v>
      </c>
      <c r="Q235" t="str">
        <f t="shared" si="9"/>
        <v>Good Profit</v>
      </c>
      <c r="R235" t="str">
        <f t="shared" si="10"/>
        <v>High Value</v>
      </c>
    </row>
    <row r="236" spans="1:18" x14ac:dyDescent="0.25">
      <c r="A236" s="3" t="s">
        <v>306</v>
      </c>
      <c r="B236" s="5">
        <v>45778</v>
      </c>
      <c r="C236" s="3" t="s">
        <v>24</v>
      </c>
      <c r="D236" s="3" t="s">
        <v>51</v>
      </c>
      <c r="E236" s="3" t="s">
        <v>26</v>
      </c>
      <c r="F236" s="3" t="s">
        <v>27</v>
      </c>
      <c r="G236" s="3">
        <v>5</v>
      </c>
      <c r="H236" s="6">
        <v>650</v>
      </c>
      <c r="I236" s="7">
        <v>0.15</v>
      </c>
      <c r="J236" s="6">
        <v>2762.5</v>
      </c>
      <c r="K236" s="6">
        <v>1900</v>
      </c>
      <c r="L236" s="6">
        <v>862.5</v>
      </c>
      <c r="M236" s="3" t="s">
        <v>61</v>
      </c>
      <c r="N236" s="3" t="s">
        <v>45</v>
      </c>
      <c r="O236" s="3" t="s">
        <v>36</v>
      </c>
      <c r="P236" s="16">
        <f t="shared" si="11"/>
        <v>0.31221719457013575</v>
      </c>
      <c r="Q236" t="str">
        <f t="shared" si="9"/>
        <v>Good Profit</v>
      </c>
      <c r="R236" t="str">
        <f t="shared" si="10"/>
        <v>Normal</v>
      </c>
    </row>
    <row r="237" spans="1:18" x14ac:dyDescent="0.25">
      <c r="A237" t="s">
        <v>307</v>
      </c>
      <c r="B237" s="8">
        <v>45689</v>
      </c>
      <c r="C237" t="s">
        <v>38</v>
      </c>
      <c r="D237" t="s">
        <v>43</v>
      </c>
      <c r="E237" t="s">
        <v>52</v>
      </c>
      <c r="F237" t="s">
        <v>53</v>
      </c>
      <c r="G237">
        <v>6</v>
      </c>
      <c r="H237" s="1">
        <v>90</v>
      </c>
      <c r="I237" s="9">
        <v>0.05</v>
      </c>
      <c r="J237" s="1">
        <v>513</v>
      </c>
      <c r="K237" s="1">
        <v>240</v>
      </c>
      <c r="L237" s="1">
        <v>273</v>
      </c>
      <c r="M237" t="s">
        <v>20</v>
      </c>
      <c r="N237" t="s">
        <v>57</v>
      </c>
      <c r="O237" t="s">
        <v>36</v>
      </c>
      <c r="P237" s="16">
        <f t="shared" si="11"/>
        <v>0.53216374269005851</v>
      </c>
      <c r="Q237" t="str">
        <f t="shared" si="9"/>
        <v>Low Profit</v>
      </c>
      <c r="R237" t="str">
        <f t="shared" si="10"/>
        <v>Normal</v>
      </c>
    </row>
    <row r="238" spans="1:18" x14ac:dyDescent="0.25">
      <c r="A238" s="3" t="s">
        <v>308</v>
      </c>
      <c r="B238" s="5">
        <v>46011</v>
      </c>
      <c r="C238" s="3" t="s">
        <v>31</v>
      </c>
      <c r="D238" s="3" t="s">
        <v>32</v>
      </c>
      <c r="E238" s="3" t="s">
        <v>18</v>
      </c>
      <c r="F238" s="3" t="s">
        <v>69</v>
      </c>
      <c r="G238" s="3">
        <v>12</v>
      </c>
      <c r="H238" s="6">
        <v>1600</v>
      </c>
      <c r="I238" s="7">
        <v>0.1</v>
      </c>
      <c r="J238" s="6">
        <v>17280</v>
      </c>
      <c r="K238" s="6">
        <v>11400</v>
      </c>
      <c r="L238" s="6">
        <v>5880</v>
      </c>
      <c r="M238" s="3" t="s">
        <v>20</v>
      </c>
      <c r="N238" s="3" t="s">
        <v>45</v>
      </c>
      <c r="O238" s="3" t="s">
        <v>36</v>
      </c>
      <c r="P238" s="16">
        <f t="shared" si="11"/>
        <v>0.34027777777777779</v>
      </c>
      <c r="Q238" t="str">
        <f t="shared" si="9"/>
        <v>Good Profit</v>
      </c>
      <c r="R238" t="str">
        <f t="shared" si="10"/>
        <v>High Value</v>
      </c>
    </row>
    <row r="239" spans="1:18" x14ac:dyDescent="0.25">
      <c r="A239" t="s">
        <v>309</v>
      </c>
      <c r="B239" s="8">
        <v>45968</v>
      </c>
      <c r="C239" t="s">
        <v>31</v>
      </c>
      <c r="D239" t="s">
        <v>123</v>
      </c>
      <c r="E239" t="s">
        <v>26</v>
      </c>
      <c r="F239" t="s">
        <v>33</v>
      </c>
      <c r="G239">
        <v>3</v>
      </c>
      <c r="H239" s="1">
        <v>550</v>
      </c>
      <c r="I239" s="9">
        <v>0.15</v>
      </c>
      <c r="J239" s="1">
        <v>1402.5</v>
      </c>
      <c r="K239" s="1">
        <v>900</v>
      </c>
      <c r="L239" s="1">
        <v>502.5</v>
      </c>
      <c r="M239" t="s">
        <v>54</v>
      </c>
      <c r="N239" t="s">
        <v>35</v>
      </c>
      <c r="O239" t="s">
        <v>22</v>
      </c>
      <c r="P239" s="16">
        <f t="shared" si="11"/>
        <v>0.35828877005347592</v>
      </c>
      <c r="Q239" t="str">
        <f t="shared" si="9"/>
        <v>Good Profit</v>
      </c>
      <c r="R239" t="str">
        <f t="shared" si="10"/>
        <v>Normal</v>
      </c>
    </row>
    <row r="240" spans="1:18" x14ac:dyDescent="0.25">
      <c r="A240" s="3" t="s">
        <v>310</v>
      </c>
      <c r="B240" s="5">
        <v>45927</v>
      </c>
      <c r="C240" s="3" t="s">
        <v>24</v>
      </c>
      <c r="D240" s="3" t="s">
        <v>63</v>
      </c>
      <c r="E240" s="3" t="s">
        <v>26</v>
      </c>
      <c r="F240" s="3" t="s">
        <v>80</v>
      </c>
      <c r="G240" s="3">
        <v>10</v>
      </c>
      <c r="H240" s="6">
        <v>1200</v>
      </c>
      <c r="I240" s="7">
        <v>0</v>
      </c>
      <c r="J240" s="6">
        <v>12000</v>
      </c>
      <c r="K240" s="6">
        <v>7000</v>
      </c>
      <c r="L240" s="6">
        <v>5000</v>
      </c>
      <c r="M240" s="3" t="s">
        <v>61</v>
      </c>
      <c r="N240" s="3" t="s">
        <v>41</v>
      </c>
      <c r="O240" s="3" t="s">
        <v>49</v>
      </c>
      <c r="P240" s="16">
        <f t="shared" si="11"/>
        <v>0.41666666666666669</v>
      </c>
      <c r="Q240" t="str">
        <f t="shared" si="9"/>
        <v>Good Profit</v>
      </c>
      <c r="R240" t="str">
        <f t="shared" si="10"/>
        <v>High Value</v>
      </c>
    </row>
    <row r="241" spans="1:18" x14ac:dyDescent="0.25">
      <c r="A241" t="s">
        <v>311</v>
      </c>
      <c r="B241" s="8">
        <v>45932</v>
      </c>
      <c r="C241" t="s">
        <v>16</v>
      </c>
      <c r="D241" t="s">
        <v>17</v>
      </c>
      <c r="E241" t="s">
        <v>18</v>
      </c>
      <c r="F241" t="s">
        <v>69</v>
      </c>
      <c r="G241">
        <v>4</v>
      </c>
      <c r="H241" s="1">
        <v>1600</v>
      </c>
      <c r="I241" s="9">
        <v>0.2</v>
      </c>
      <c r="J241" s="1">
        <v>5120</v>
      </c>
      <c r="K241" s="1">
        <v>3800</v>
      </c>
      <c r="L241" s="1">
        <v>1320</v>
      </c>
      <c r="M241" t="s">
        <v>34</v>
      </c>
      <c r="N241" t="s">
        <v>92</v>
      </c>
      <c r="O241" t="s">
        <v>36</v>
      </c>
      <c r="P241" s="16">
        <f t="shared" si="11"/>
        <v>0.2578125</v>
      </c>
      <c r="Q241" t="str">
        <f t="shared" si="9"/>
        <v>Good Profit</v>
      </c>
      <c r="R241" t="str">
        <f t="shared" si="10"/>
        <v>High Value</v>
      </c>
    </row>
    <row r="242" spans="1:18" x14ac:dyDescent="0.25">
      <c r="A242" s="3" t="s">
        <v>312</v>
      </c>
      <c r="B242" s="5">
        <v>45908</v>
      </c>
      <c r="C242" s="3" t="s">
        <v>24</v>
      </c>
      <c r="D242" s="3" t="s">
        <v>25</v>
      </c>
      <c r="E242" s="3" t="s">
        <v>18</v>
      </c>
      <c r="F242" s="3" t="s">
        <v>75</v>
      </c>
      <c r="G242" s="3">
        <v>12</v>
      </c>
      <c r="H242" s="6">
        <v>7800</v>
      </c>
      <c r="I242" s="7">
        <v>0.2</v>
      </c>
      <c r="J242" s="6">
        <v>74880</v>
      </c>
      <c r="K242" s="6">
        <v>66000</v>
      </c>
      <c r="L242" s="6">
        <v>8880</v>
      </c>
      <c r="M242" s="3" t="s">
        <v>20</v>
      </c>
      <c r="N242" s="3" t="s">
        <v>57</v>
      </c>
      <c r="O242" s="3" t="s">
        <v>49</v>
      </c>
      <c r="P242" s="16">
        <f t="shared" si="11"/>
        <v>0.11858974358974358</v>
      </c>
      <c r="Q242" t="str">
        <f t="shared" si="9"/>
        <v>Good Profit</v>
      </c>
      <c r="R242" t="str">
        <f t="shared" si="10"/>
        <v>High Value</v>
      </c>
    </row>
    <row r="243" spans="1:18" x14ac:dyDescent="0.25">
      <c r="A243" t="s">
        <v>313</v>
      </c>
      <c r="B243" s="8">
        <v>45687</v>
      </c>
      <c r="C243" t="s">
        <v>24</v>
      </c>
      <c r="D243" t="s">
        <v>63</v>
      </c>
      <c r="E243" t="s">
        <v>18</v>
      </c>
      <c r="F243" t="s">
        <v>44</v>
      </c>
      <c r="G243">
        <v>8</v>
      </c>
      <c r="H243" s="1">
        <v>950</v>
      </c>
      <c r="I243" s="9">
        <v>0.2</v>
      </c>
      <c r="J243" s="1">
        <v>6080</v>
      </c>
      <c r="K243" s="1">
        <v>4160</v>
      </c>
      <c r="L243" s="1">
        <v>1920</v>
      </c>
      <c r="M243" t="s">
        <v>28</v>
      </c>
      <c r="N243" t="s">
        <v>57</v>
      </c>
      <c r="O243" t="s">
        <v>22</v>
      </c>
      <c r="P243" s="16">
        <f t="shared" si="11"/>
        <v>0.31578947368421051</v>
      </c>
      <c r="Q243" t="str">
        <f t="shared" si="9"/>
        <v>Good Profit</v>
      </c>
      <c r="R243" t="str">
        <f t="shared" si="10"/>
        <v>High Value</v>
      </c>
    </row>
    <row r="244" spans="1:18" x14ac:dyDescent="0.25">
      <c r="A244" s="3" t="s">
        <v>314</v>
      </c>
      <c r="B244" s="5">
        <v>45954</v>
      </c>
      <c r="C244" s="3" t="s">
        <v>38</v>
      </c>
      <c r="D244" s="3" t="s">
        <v>43</v>
      </c>
      <c r="E244" s="3" t="s">
        <v>52</v>
      </c>
      <c r="F244" s="3" t="s">
        <v>73</v>
      </c>
      <c r="G244" s="3">
        <v>1</v>
      </c>
      <c r="H244" s="6">
        <v>450</v>
      </c>
      <c r="I244" s="7">
        <v>0.05</v>
      </c>
      <c r="J244" s="6">
        <v>427.5</v>
      </c>
      <c r="K244" s="6">
        <v>240</v>
      </c>
      <c r="L244" s="6">
        <v>187.5</v>
      </c>
      <c r="M244" s="3" t="s">
        <v>20</v>
      </c>
      <c r="N244" s="3" t="s">
        <v>29</v>
      </c>
      <c r="O244" s="3" t="s">
        <v>36</v>
      </c>
      <c r="P244" s="16">
        <f t="shared" si="11"/>
        <v>0.43859649122807015</v>
      </c>
      <c r="Q244" t="str">
        <f t="shared" si="9"/>
        <v>Low Profit</v>
      </c>
      <c r="R244" t="str">
        <f t="shared" si="10"/>
        <v>Normal</v>
      </c>
    </row>
    <row r="245" spans="1:18" x14ac:dyDescent="0.25">
      <c r="A245" t="s">
        <v>315</v>
      </c>
      <c r="B245" s="8">
        <v>45674</v>
      </c>
      <c r="C245" t="s">
        <v>38</v>
      </c>
      <c r="D245" t="s">
        <v>43</v>
      </c>
      <c r="E245" t="s">
        <v>18</v>
      </c>
      <c r="F245" t="s">
        <v>47</v>
      </c>
      <c r="G245">
        <v>2</v>
      </c>
      <c r="H245" s="1">
        <v>6200</v>
      </c>
      <c r="I245" s="9">
        <v>0.15</v>
      </c>
      <c r="J245" s="1">
        <v>10540</v>
      </c>
      <c r="K245" s="1">
        <v>8600</v>
      </c>
      <c r="L245" s="1">
        <v>1940</v>
      </c>
      <c r="M245" t="s">
        <v>54</v>
      </c>
      <c r="N245" t="s">
        <v>35</v>
      </c>
      <c r="O245" t="s">
        <v>49</v>
      </c>
      <c r="P245" s="16">
        <f t="shared" si="11"/>
        <v>0.18406072106261859</v>
      </c>
      <c r="Q245" t="str">
        <f t="shared" si="9"/>
        <v>Good Profit</v>
      </c>
      <c r="R245" t="str">
        <f t="shared" si="10"/>
        <v>High Value</v>
      </c>
    </row>
    <row r="246" spans="1:18" x14ac:dyDescent="0.25">
      <c r="A246" s="3" t="s">
        <v>316</v>
      </c>
      <c r="B246" s="5">
        <v>45850</v>
      </c>
      <c r="C246" s="3" t="s">
        <v>31</v>
      </c>
      <c r="D246" s="3" t="s">
        <v>32</v>
      </c>
      <c r="E246" s="3" t="s">
        <v>52</v>
      </c>
      <c r="F246" s="3" t="s">
        <v>97</v>
      </c>
      <c r="G246" s="3">
        <v>8</v>
      </c>
      <c r="H246" s="6">
        <v>380</v>
      </c>
      <c r="I246" s="7">
        <v>0.15</v>
      </c>
      <c r="J246" s="6">
        <v>2584</v>
      </c>
      <c r="K246" s="6">
        <v>2000</v>
      </c>
      <c r="L246" s="6">
        <v>584</v>
      </c>
      <c r="M246" s="3" t="s">
        <v>20</v>
      </c>
      <c r="N246" s="3" t="s">
        <v>92</v>
      </c>
      <c r="O246" s="3" t="s">
        <v>22</v>
      </c>
      <c r="P246" s="16">
        <f t="shared" si="11"/>
        <v>0.2260061919504644</v>
      </c>
      <c r="Q246" t="str">
        <f t="shared" si="9"/>
        <v>Good Profit</v>
      </c>
      <c r="R246" t="str">
        <f t="shared" si="10"/>
        <v>Normal</v>
      </c>
    </row>
    <row r="247" spans="1:18" x14ac:dyDescent="0.25">
      <c r="A247" t="s">
        <v>317</v>
      </c>
      <c r="B247" s="8">
        <v>45723</v>
      </c>
      <c r="C247" t="s">
        <v>38</v>
      </c>
      <c r="D247" t="s">
        <v>43</v>
      </c>
      <c r="E247" t="s">
        <v>26</v>
      </c>
      <c r="F247" t="s">
        <v>94</v>
      </c>
      <c r="G247">
        <v>7</v>
      </c>
      <c r="H247" s="1">
        <v>9500</v>
      </c>
      <c r="I247" s="9">
        <v>0.2</v>
      </c>
      <c r="J247" s="1">
        <v>53200</v>
      </c>
      <c r="K247" s="1">
        <v>50400</v>
      </c>
      <c r="L247" s="1">
        <v>2800</v>
      </c>
      <c r="M247" t="s">
        <v>34</v>
      </c>
      <c r="N247" t="s">
        <v>29</v>
      </c>
      <c r="O247" t="s">
        <v>49</v>
      </c>
      <c r="P247" s="16">
        <f t="shared" si="11"/>
        <v>5.2631578947368418E-2</v>
      </c>
      <c r="Q247" t="str">
        <f t="shared" si="9"/>
        <v>Good Profit</v>
      </c>
      <c r="R247" t="str">
        <f t="shared" si="10"/>
        <v>High Value</v>
      </c>
    </row>
    <row r="248" spans="1:18" x14ac:dyDescent="0.25">
      <c r="A248" s="3" t="s">
        <v>318</v>
      </c>
      <c r="B248" s="5">
        <v>45930</v>
      </c>
      <c r="C248" s="3" t="s">
        <v>38</v>
      </c>
      <c r="D248" s="3" t="s">
        <v>90</v>
      </c>
      <c r="E248" s="3" t="s">
        <v>18</v>
      </c>
      <c r="F248" s="3" t="s">
        <v>56</v>
      </c>
      <c r="G248" s="3">
        <v>9</v>
      </c>
      <c r="H248" s="6">
        <v>8900</v>
      </c>
      <c r="I248" s="7">
        <v>0.15</v>
      </c>
      <c r="J248" s="6">
        <v>68085</v>
      </c>
      <c r="K248" s="6">
        <v>57600</v>
      </c>
      <c r="L248" s="6">
        <v>10485</v>
      </c>
      <c r="M248" s="3" t="s">
        <v>61</v>
      </c>
      <c r="N248" s="3" t="s">
        <v>48</v>
      </c>
      <c r="O248" s="3" t="s">
        <v>49</v>
      </c>
      <c r="P248" s="16">
        <f t="shared" si="11"/>
        <v>0.15399867812293458</v>
      </c>
      <c r="Q248" t="str">
        <f t="shared" si="9"/>
        <v>Good Profit</v>
      </c>
      <c r="R248" t="str">
        <f t="shared" si="10"/>
        <v>High Value</v>
      </c>
    </row>
    <row r="249" spans="1:18" x14ac:dyDescent="0.25">
      <c r="A249" t="s">
        <v>319</v>
      </c>
      <c r="B249" s="8">
        <v>45674</v>
      </c>
      <c r="C249" t="s">
        <v>24</v>
      </c>
      <c r="D249" t="s">
        <v>51</v>
      </c>
      <c r="E249" t="s">
        <v>26</v>
      </c>
      <c r="F249" t="s">
        <v>40</v>
      </c>
      <c r="G249">
        <v>4</v>
      </c>
      <c r="H249" s="1">
        <v>1800</v>
      </c>
      <c r="I249" s="9">
        <v>0</v>
      </c>
      <c r="J249" s="1">
        <v>7200</v>
      </c>
      <c r="K249" s="1">
        <v>4600</v>
      </c>
      <c r="L249" s="1">
        <v>2600</v>
      </c>
      <c r="M249" t="s">
        <v>61</v>
      </c>
      <c r="N249" t="s">
        <v>29</v>
      </c>
      <c r="O249" t="s">
        <v>49</v>
      </c>
      <c r="P249" s="16">
        <f t="shared" si="11"/>
        <v>0.3611111111111111</v>
      </c>
      <c r="Q249" t="str">
        <f t="shared" si="9"/>
        <v>Good Profit</v>
      </c>
      <c r="R249" t="str">
        <f t="shared" si="10"/>
        <v>High Value</v>
      </c>
    </row>
    <row r="250" spans="1:18" x14ac:dyDescent="0.25">
      <c r="A250" s="3" t="s">
        <v>320</v>
      </c>
      <c r="B250" s="5">
        <v>45964</v>
      </c>
      <c r="C250" s="3" t="s">
        <v>31</v>
      </c>
      <c r="D250" s="3" t="s">
        <v>79</v>
      </c>
      <c r="E250" s="3" t="s">
        <v>26</v>
      </c>
      <c r="F250" s="3" t="s">
        <v>94</v>
      </c>
      <c r="G250" s="3">
        <v>1</v>
      </c>
      <c r="H250" s="6">
        <v>9500</v>
      </c>
      <c r="I250" s="7">
        <v>0.15</v>
      </c>
      <c r="J250" s="6">
        <v>8075</v>
      </c>
      <c r="K250" s="6">
        <v>7200</v>
      </c>
      <c r="L250" s="6">
        <v>875</v>
      </c>
      <c r="M250" s="3" t="s">
        <v>20</v>
      </c>
      <c r="N250" s="3" t="s">
        <v>48</v>
      </c>
      <c r="O250" s="3" t="s">
        <v>22</v>
      </c>
      <c r="P250" s="16">
        <f t="shared" si="11"/>
        <v>0.10835913312693499</v>
      </c>
      <c r="Q250" t="str">
        <f t="shared" si="9"/>
        <v>Good Profit</v>
      </c>
      <c r="R250" t="str">
        <f t="shared" si="10"/>
        <v>Normal</v>
      </c>
    </row>
    <row r="251" spans="1:18" x14ac:dyDescent="0.25">
      <c r="A251" s="4" t="s">
        <v>321</v>
      </c>
      <c r="B251" s="10">
        <v>45686</v>
      </c>
      <c r="C251" s="4" t="s">
        <v>16</v>
      </c>
      <c r="D251" s="4" t="s">
        <v>104</v>
      </c>
      <c r="E251" s="4" t="s">
        <v>52</v>
      </c>
      <c r="F251" s="4" t="s">
        <v>64</v>
      </c>
      <c r="G251" s="4">
        <v>9</v>
      </c>
      <c r="H251" s="11">
        <v>120</v>
      </c>
      <c r="I251" s="12">
        <v>0.05</v>
      </c>
      <c r="J251" s="11">
        <v>1026</v>
      </c>
      <c r="K251" s="11">
        <v>495</v>
      </c>
      <c r="L251" s="11">
        <v>531</v>
      </c>
      <c r="M251" s="4" t="s">
        <v>34</v>
      </c>
      <c r="N251" s="4" t="s">
        <v>45</v>
      </c>
      <c r="O251" s="4" t="s">
        <v>49</v>
      </c>
      <c r="P251" s="16">
        <f t="shared" si="11"/>
        <v>0.51754385964912286</v>
      </c>
      <c r="Q251" t="str">
        <f t="shared" si="9"/>
        <v>Good Profit</v>
      </c>
      <c r="R251" t="str">
        <f t="shared" si="10"/>
        <v>Normal</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754B6-671A-4C61-9965-E87E555C304F}">
  <dimension ref="A1:B11"/>
  <sheetViews>
    <sheetView zoomScale="217" workbookViewId="0">
      <selection activeCell="D6" sqref="D6"/>
    </sheetView>
  </sheetViews>
  <sheetFormatPr defaultRowHeight="15" x14ac:dyDescent="0.25"/>
  <cols>
    <col min="1" max="1" width="33" bestFit="1" customWidth="1"/>
    <col min="2" max="2" width="30.140625" customWidth="1"/>
  </cols>
  <sheetData>
    <row r="1" spans="1:2" x14ac:dyDescent="0.25">
      <c r="A1" t="s">
        <v>325</v>
      </c>
      <c r="B1" t="s">
        <v>326</v>
      </c>
    </row>
    <row r="2" spans="1:2" x14ac:dyDescent="0.25">
      <c r="A2" t="s">
        <v>324</v>
      </c>
      <c r="B2" s="15">
        <f>SUM('sales project'!L10:L251)</f>
        <v>755293</v>
      </c>
    </row>
    <row r="3" spans="1:2" x14ac:dyDescent="0.25">
      <c r="A3" t="s">
        <v>327</v>
      </c>
      <c r="B3" s="15">
        <f>SUM('sales project'!J220:J251)</f>
        <v>567801</v>
      </c>
    </row>
    <row r="4" spans="1:2" x14ac:dyDescent="0.25">
      <c r="A4" t="s">
        <v>328</v>
      </c>
      <c r="B4">
        <f>COUNTA(Table2[OrderID])</f>
        <v>250</v>
      </c>
    </row>
    <row r="5" spans="1:2" x14ac:dyDescent="0.25">
      <c r="A5" t="s">
        <v>329</v>
      </c>
      <c r="B5">
        <f>SUM('sales project'!G220:G251)</f>
        <v>183</v>
      </c>
    </row>
    <row r="6" spans="1:2" x14ac:dyDescent="0.25">
      <c r="A6" t="s">
        <v>330</v>
      </c>
      <c r="B6" s="16">
        <f>AVERAGE(Table2[DiscountPct])</f>
        <v>0.10279999999999995</v>
      </c>
    </row>
    <row r="7" spans="1:2" x14ac:dyDescent="0.25">
      <c r="A7" t="s">
        <v>331</v>
      </c>
      <c r="B7" s="24">
        <f>AVERAGE('sales project'!J220:J251)</f>
        <v>17743.78125</v>
      </c>
    </row>
    <row r="8" spans="1:2" x14ac:dyDescent="0.25">
      <c r="A8" t="s">
        <v>332</v>
      </c>
      <c r="B8">
        <f>SUMIF(Table2[City],"mysuru",Table2[Sales_INR])</f>
        <v>360174</v>
      </c>
    </row>
    <row r="9" spans="1:2" x14ac:dyDescent="0.25">
      <c r="A9" t="s">
        <v>333</v>
      </c>
      <c r="B9">
        <f>SUMIF(Table2[Category],"Furniture",Table2[Profit_INR])</f>
        <v>552770</v>
      </c>
    </row>
    <row r="10" spans="1:2" x14ac:dyDescent="0.25">
      <c r="A10" t="s">
        <v>335</v>
      </c>
      <c r="B10" s="15">
        <f>SUMIFS(Table2[Sales_INR],Table2[City],"Mumbai",Table2[Category],"Furniture")</f>
        <v>165070</v>
      </c>
    </row>
    <row r="11" spans="1:2" x14ac:dyDescent="0.25">
      <c r="A11" t="s">
        <v>336</v>
      </c>
      <c r="B11">
        <f>COUNTIFS(Table2[Category],"Furniture",Table2[City],"Mumbai",Table2[Profit_INR],"&gt;2000")</f>
        <v>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B39DD-9926-466C-A583-50B44DBEF10F}">
  <dimension ref="A3:L106"/>
  <sheetViews>
    <sheetView workbookViewId="0">
      <selection activeCell="K28" sqref="K28"/>
    </sheetView>
  </sheetViews>
  <sheetFormatPr defaultRowHeight="15" x14ac:dyDescent="0.25"/>
  <cols>
    <col min="1" max="1" width="15.28515625" bestFit="1" customWidth="1"/>
    <col min="2" max="2" width="16.85546875" bestFit="1" customWidth="1"/>
    <col min="3" max="3" width="11.85546875" customWidth="1"/>
    <col min="4" max="4" width="23" bestFit="1" customWidth="1"/>
    <col min="5" max="5" width="17.42578125" bestFit="1" customWidth="1"/>
    <col min="6" max="8" width="11.85546875" bestFit="1" customWidth="1"/>
    <col min="9" max="9" width="12.85546875" bestFit="1" customWidth="1"/>
    <col min="10" max="10" width="10.28515625" bestFit="1" customWidth="1"/>
    <col min="11" max="11" width="19" bestFit="1" customWidth="1"/>
    <col min="12" max="12" width="30.28515625" bestFit="1" customWidth="1"/>
    <col min="13" max="13" width="9.7109375" bestFit="1" customWidth="1"/>
    <col min="14" max="14" width="12.7109375" bestFit="1" customWidth="1"/>
    <col min="15" max="15" width="9.28515625" bestFit="1" customWidth="1"/>
    <col min="16" max="16" width="11.85546875" bestFit="1" customWidth="1"/>
    <col min="17" max="17" width="11" bestFit="1" customWidth="1"/>
    <col min="18" max="18" width="10.28515625" bestFit="1" customWidth="1"/>
    <col min="19" max="19" width="15.5703125" bestFit="1" customWidth="1"/>
    <col min="20" max="20" width="11.85546875" bestFit="1" customWidth="1"/>
    <col min="21" max="21" width="12.85546875" bestFit="1" customWidth="1"/>
    <col min="22" max="22" width="11.28515625" bestFit="1" customWidth="1"/>
    <col min="23" max="23" width="15.5703125" bestFit="1" customWidth="1"/>
    <col min="24" max="24" width="12.85546875" bestFit="1" customWidth="1"/>
  </cols>
  <sheetData>
    <row r="3" spans="1:12" x14ac:dyDescent="0.25">
      <c r="A3" s="17" t="s">
        <v>337</v>
      </c>
      <c r="B3" t="s">
        <v>348</v>
      </c>
      <c r="D3" s="17" t="s">
        <v>342</v>
      </c>
      <c r="E3" s="17" t="s">
        <v>341</v>
      </c>
      <c r="K3" s="17" t="s">
        <v>344</v>
      </c>
      <c r="L3" t="s">
        <v>345</v>
      </c>
    </row>
    <row r="4" spans="1:12" x14ac:dyDescent="0.25">
      <c r="A4" s="18" t="s">
        <v>24</v>
      </c>
      <c r="B4" s="1">
        <v>1126155.5</v>
      </c>
      <c r="D4" s="17" t="s">
        <v>343</v>
      </c>
      <c r="E4" t="s">
        <v>24</v>
      </c>
      <c r="F4" t="s">
        <v>38</v>
      </c>
      <c r="G4" t="s">
        <v>31</v>
      </c>
      <c r="H4" t="s">
        <v>16</v>
      </c>
      <c r="I4" t="s">
        <v>338</v>
      </c>
      <c r="K4" s="18" t="s">
        <v>18</v>
      </c>
      <c r="L4" s="1">
        <v>552770</v>
      </c>
    </row>
    <row r="5" spans="1:12" x14ac:dyDescent="0.25">
      <c r="A5" s="18" t="s">
        <v>38</v>
      </c>
      <c r="B5" s="1">
        <v>843232.5</v>
      </c>
      <c r="D5" s="18" t="s">
        <v>79</v>
      </c>
      <c r="E5" s="1"/>
      <c r="F5" s="1"/>
      <c r="G5" s="1">
        <v>150820</v>
      </c>
      <c r="H5" s="1"/>
      <c r="I5" s="1">
        <v>150820</v>
      </c>
      <c r="K5" s="19" t="s">
        <v>19</v>
      </c>
      <c r="L5" s="1">
        <v>99630</v>
      </c>
    </row>
    <row r="6" spans="1:12" x14ac:dyDescent="0.25">
      <c r="A6" s="18" t="s">
        <v>31</v>
      </c>
      <c r="B6" s="1">
        <v>803864.5</v>
      </c>
      <c r="D6" s="18" t="s">
        <v>63</v>
      </c>
      <c r="E6" s="1">
        <v>194425</v>
      </c>
      <c r="F6" s="1"/>
      <c r="G6" s="1"/>
      <c r="H6" s="1"/>
      <c r="I6" s="1">
        <v>194425</v>
      </c>
      <c r="K6" s="19" t="s">
        <v>56</v>
      </c>
      <c r="L6" s="1">
        <v>150360</v>
      </c>
    </row>
    <row r="7" spans="1:12" x14ac:dyDescent="0.25">
      <c r="A7" s="18" t="s">
        <v>16</v>
      </c>
      <c r="B7" s="1">
        <v>573793.5</v>
      </c>
      <c r="D7" s="18" t="s">
        <v>90</v>
      </c>
      <c r="E7" s="1"/>
      <c r="F7" s="1">
        <v>187590</v>
      </c>
      <c r="G7" s="1"/>
      <c r="H7" s="1"/>
      <c r="I7" s="1">
        <v>187590</v>
      </c>
      <c r="K7" s="19" t="s">
        <v>69</v>
      </c>
      <c r="L7" s="1">
        <v>58410</v>
      </c>
    </row>
    <row r="8" spans="1:12" x14ac:dyDescent="0.25">
      <c r="A8" s="18" t="s">
        <v>338</v>
      </c>
      <c r="B8" s="1">
        <v>3347046</v>
      </c>
      <c r="D8" s="18" t="s">
        <v>123</v>
      </c>
      <c r="E8" s="1"/>
      <c r="F8" s="1"/>
      <c r="G8" s="1">
        <v>87780</v>
      </c>
      <c r="H8" s="1"/>
      <c r="I8" s="1">
        <v>87780</v>
      </c>
      <c r="K8" s="19" t="s">
        <v>47</v>
      </c>
      <c r="L8" s="1">
        <v>77690</v>
      </c>
    </row>
    <row r="9" spans="1:12" x14ac:dyDescent="0.25">
      <c r="D9" s="18" t="s">
        <v>43</v>
      </c>
      <c r="E9" s="1"/>
      <c r="F9" s="1">
        <v>206900</v>
      </c>
      <c r="G9" s="1"/>
      <c r="H9" s="1"/>
      <c r="I9" s="1">
        <v>206900</v>
      </c>
      <c r="K9" s="19" t="s">
        <v>75</v>
      </c>
      <c r="L9" s="1">
        <v>135000</v>
      </c>
    </row>
    <row r="10" spans="1:12" x14ac:dyDescent="0.25">
      <c r="A10" s="17" t="s">
        <v>337</v>
      </c>
      <c r="B10" t="s">
        <v>347</v>
      </c>
      <c r="D10" s="18" t="s">
        <v>83</v>
      </c>
      <c r="E10" s="1">
        <v>75385</v>
      </c>
      <c r="F10" s="1"/>
      <c r="G10" s="1"/>
      <c r="H10" s="1"/>
      <c r="I10" s="1">
        <v>75385</v>
      </c>
      <c r="K10" s="19" t="s">
        <v>44</v>
      </c>
      <c r="L10" s="1">
        <v>31680</v>
      </c>
    </row>
    <row r="11" spans="1:12" x14ac:dyDescent="0.25">
      <c r="A11" s="18" t="s">
        <v>19</v>
      </c>
      <c r="B11" s="1">
        <v>99630</v>
      </c>
      <c r="D11" s="18" t="s">
        <v>100</v>
      </c>
      <c r="E11" s="1"/>
      <c r="F11" s="1"/>
      <c r="G11" s="1">
        <v>84080</v>
      </c>
      <c r="H11" s="1"/>
      <c r="I11" s="1">
        <v>84080</v>
      </c>
      <c r="K11" s="18" t="s">
        <v>52</v>
      </c>
      <c r="L11" s="1">
        <v>44773.5</v>
      </c>
    </row>
    <row r="12" spans="1:12" x14ac:dyDescent="0.25">
      <c r="A12" s="18" t="s">
        <v>73</v>
      </c>
      <c r="B12" s="1">
        <v>13350</v>
      </c>
      <c r="D12" s="18" t="s">
        <v>39</v>
      </c>
      <c r="E12" s="1"/>
      <c r="F12" s="1">
        <v>248430</v>
      </c>
      <c r="G12" s="1"/>
      <c r="H12" s="1"/>
      <c r="I12" s="1">
        <v>248430</v>
      </c>
      <c r="K12" s="19" t="s">
        <v>73</v>
      </c>
      <c r="L12" s="1">
        <v>13350</v>
      </c>
    </row>
    <row r="13" spans="1:12" x14ac:dyDescent="0.25">
      <c r="A13" s="18" t="s">
        <v>53</v>
      </c>
      <c r="B13" s="1">
        <v>5653.5</v>
      </c>
      <c r="D13" s="18" t="s">
        <v>25</v>
      </c>
      <c r="E13" s="1">
        <v>296615</v>
      </c>
      <c r="F13" s="1"/>
      <c r="G13" s="1"/>
      <c r="H13" s="1"/>
      <c r="I13" s="1">
        <v>296615</v>
      </c>
      <c r="K13" s="19" t="s">
        <v>53</v>
      </c>
      <c r="L13" s="1">
        <v>5653.5</v>
      </c>
    </row>
    <row r="14" spans="1:12" x14ac:dyDescent="0.25">
      <c r="A14" s="18" t="s">
        <v>56</v>
      </c>
      <c r="B14" s="1">
        <v>150360</v>
      </c>
      <c r="D14" s="18" t="s">
        <v>170</v>
      </c>
      <c r="E14" s="1"/>
      <c r="F14" s="1">
        <v>19340</v>
      </c>
      <c r="G14" s="1"/>
      <c r="H14" s="1"/>
      <c r="I14" s="1">
        <v>19340</v>
      </c>
      <c r="K14" s="19" t="s">
        <v>88</v>
      </c>
      <c r="L14" s="1">
        <v>10060</v>
      </c>
    </row>
    <row r="15" spans="1:12" x14ac:dyDescent="0.25">
      <c r="A15" s="18" t="s">
        <v>69</v>
      </c>
      <c r="B15" s="1">
        <v>58410</v>
      </c>
      <c r="D15" s="18" t="s">
        <v>17</v>
      </c>
      <c r="E15" s="1"/>
      <c r="F15" s="1"/>
      <c r="G15" s="1"/>
      <c r="H15" s="1">
        <v>132885</v>
      </c>
      <c r="I15" s="1">
        <v>132885</v>
      </c>
      <c r="K15" s="19" t="s">
        <v>64</v>
      </c>
      <c r="L15" s="1">
        <v>5350</v>
      </c>
    </row>
    <row r="16" spans="1:12" x14ac:dyDescent="0.25">
      <c r="A16" s="18" t="s">
        <v>40</v>
      </c>
      <c r="B16" s="1">
        <v>29090</v>
      </c>
      <c r="D16" s="18" t="s">
        <v>32</v>
      </c>
      <c r="E16" s="1"/>
      <c r="F16" s="1"/>
      <c r="G16" s="1">
        <v>267610</v>
      </c>
      <c r="H16" s="1"/>
      <c r="I16" s="1">
        <v>267610</v>
      </c>
      <c r="K16" s="19" t="s">
        <v>97</v>
      </c>
      <c r="L16" s="1">
        <v>7417</v>
      </c>
    </row>
    <row r="17" spans="1:12" x14ac:dyDescent="0.25">
      <c r="A17" s="18" t="s">
        <v>66</v>
      </c>
      <c r="B17" s="1">
        <v>22990</v>
      </c>
      <c r="D17" s="18" t="s">
        <v>104</v>
      </c>
      <c r="E17" s="1"/>
      <c r="F17" s="1"/>
      <c r="G17" s="1"/>
      <c r="H17" s="1">
        <v>39115</v>
      </c>
      <c r="I17" s="1">
        <v>39115</v>
      </c>
      <c r="K17" s="19" t="s">
        <v>108</v>
      </c>
      <c r="L17" s="1">
        <v>2943</v>
      </c>
    </row>
    <row r="18" spans="1:12" x14ac:dyDescent="0.25">
      <c r="A18" s="18" t="s">
        <v>80</v>
      </c>
      <c r="B18" s="1">
        <v>39640</v>
      </c>
      <c r="D18" s="18" t="s">
        <v>139</v>
      </c>
      <c r="E18" s="1"/>
      <c r="F18" s="1"/>
      <c r="G18" s="1"/>
      <c r="H18" s="1">
        <v>101910</v>
      </c>
      <c r="I18" s="1">
        <v>101910</v>
      </c>
      <c r="K18" s="18" t="s">
        <v>26</v>
      </c>
      <c r="L18" s="1">
        <v>175962.5</v>
      </c>
    </row>
    <row r="19" spans="1:12" x14ac:dyDescent="0.25">
      <c r="A19" s="18" t="s">
        <v>94</v>
      </c>
      <c r="B19" s="1">
        <v>53950</v>
      </c>
      <c r="D19" s="18" t="s">
        <v>51</v>
      </c>
      <c r="E19" s="1">
        <v>323615</v>
      </c>
      <c r="F19" s="1"/>
      <c r="G19" s="1"/>
      <c r="H19" s="1"/>
      <c r="I19" s="1">
        <v>323615</v>
      </c>
      <c r="K19" s="19" t="s">
        <v>40</v>
      </c>
      <c r="L19" s="1">
        <v>29090</v>
      </c>
    </row>
    <row r="20" spans="1:12" x14ac:dyDescent="0.25">
      <c r="A20" s="18" t="s">
        <v>88</v>
      </c>
      <c r="B20" s="1">
        <v>10060</v>
      </c>
      <c r="D20" s="18" t="s">
        <v>60</v>
      </c>
      <c r="E20" s="1"/>
      <c r="F20" s="1"/>
      <c r="G20" s="1"/>
      <c r="H20" s="1">
        <v>157040</v>
      </c>
      <c r="I20" s="1">
        <v>157040</v>
      </c>
      <c r="K20" s="19" t="s">
        <v>66</v>
      </c>
      <c r="L20" s="1">
        <v>22990</v>
      </c>
    </row>
    <row r="21" spans="1:12" x14ac:dyDescent="0.25">
      <c r="A21" s="18" t="s">
        <v>47</v>
      </c>
      <c r="B21" s="1">
        <v>77690</v>
      </c>
      <c r="D21" s="18" t="s">
        <v>338</v>
      </c>
      <c r="E21" s="1">
        <v>890040</v>
      </c>
      <c r="F21" s="1">
        <v>662260</v>
      </c>
      <c r="G21" s="1">
        <v>590290</v>
      </c>
      <c r="H21" s="1">
        <v>430950</v>
      </c>
      <c r="I21" s="1">
        <v>2573540</v>
      </c>
      <c r="K21" s="19" t="s">
        <v>80</v>
      </c>
      <c r="L21" s="1">
        <v>39640</v>
      </c>
    </row>
    <row r="22" spans="1:12" x14ac:dyDescent="0.25">
      <c r="A22" s="18" t="s">
        <v>64</v>
      </c>
      <c r="B22" s="1">
        <v>5350</v>
      </c>
      <c r="K22" s="19" t="s">
        <v>94</v>
      </c>
      <c r="L22" s="1">
        <v>53950</v>
      </c>
    </row>
    <row r="23" spans="1:12" x14ac:dyDescent="0.25">
      <c r="A23" s="18" t="s">
        <v>97</v>
      </c>
      <c r="B23" s="1">
        <v>7417</v>
      </c>
      <c r="K23" s="19" t="s">
        <v>33</v>
      </c>
      <c r="L23" s="1">
        <v>15387.5</v>
      </c>
    </row>
    <row r="24" spans="1:12" x14ac:dyDescent="0.25">
      <c r="A24" s="18" t="s">
        <v>108</v>
      </c>
      <c r="B24" s="1">
        <v>2943</v>
      </c>
      <c r="D24" s="17" t="s">
        <v>337</v>
      </c>
      <c r="E24" t="s">
        <v>346</v>
      </c>
      <c r="K24" s="19" t="s">
        <v>27</v>
      </c>
      <c r="L24" s="1">
        <v>14905</v>
      </c>
    </row>
    <row r="25" spans="1:12" x14ac:dyDescent="0.25">
      <c r="A25" s="18" t="s">
        <v>75</v>
      </c>
      <c r="B25" s="1">
        <v>135000</v>
      </c>
      <c r="D25" s="18" t="s">
        <v>18</v>
      </c>
      <c r="E25" s="1">
        <v>1919930</v>
      </c>
      <c r="K25" s="18" t="s">
        <v>338</v>
      </c>
      <c r="L25" s="1">
        <v>773506</v>
      </c>
    </row>
    <row r="26" spans="1:12" x14ac:dyDescent="0.25">
      <c r="A26" s="18" t="s">
        <v>44</v>
      </c>
      <c r="B26" s="1">
        <v>31680</v>
      </c>
      <c r="D26" s="18" t="s">
        <v>52</v>
      </c>
      <c r="E26" s="1">
        <v>66020</v>
      </c>
    </row>
    <row r="27" spans="1:12" x14ac:dyDescent="0.25">
      <c r="A27" s="18" t="s">
        <v>33</v>
      </c>
      <c r="B27" s="1">
        <v>15387.5</v>
      </c>
      <c r="D27" s="18" t="s">
        <v>26</v>
      </c>
      <c r="E27" s="1">
        <v>587590</v>
      </c>
    </row>
    <row r="28" spans="1:12" x14ac:dyDescent="0.25">
      <c r="A28" s="18" t="s">
        <v>27</v>
      </c>
      <c r="B28" s="1">
        <v>14905</v>
      </c>
      <c r="D28" s="18" t="s">
        <v>338</v>
      </c>
      <c r="E28" s="1">
        <v>2573540</v>
      </c>
    </row>
    <row r="29" spans="1:12" x14ac:dyDescent="0.25">
      <c r="A29" s="18" t="s">
        <v>338</v>
      </c>
      <c r="B29" s="1">
        <v>773506</v>
      </c>
    </row>
    <row r="84" spans="1:2" x14ac:dyDescent="0.25">
      <c r="A84" s="17" t="s">
        <v>337</v>
      </c>
      <c r="B84" t="s">
        <v>339</v>
      </c>
    </row>
    <row r="85" spans="1:2" x14ac:dyDescent="0.25">
      <c r="A85" s="18" t="s">
        <v>18</v>
      </c>
      <c r="B85" s="1">
        <v>552770</v>
      </c>
    </row>
    <row r="86" spans="1:2" x14ac:dyDescent="0.25">
      <c r="A86" s="19" t="s">
        <v>19</v>
      </c>
      <c r="B86" s="1">
        <v>99630</v>
      </c>
    </row>
    <row r="87" spans="1:2" x14ac:dyDescent="0.25">
      <c r="A87" s="19" t="s">
        <v>56</v>
      </c>
      <c r="B87" s="1">
        <v>150360</v>
      </c>
    </row>
    <row r="88" spans="1:2" x14ac:dyDescent="0.25">
      <c r="A88" s="19" t="s">
        <v>69</v>
      </c>
      <c r="B88" s="1">
        <v>58410</v>
      </c>
    </row>
    <row r="89" spans="1:2" x14ac:dyDescent="0.25">
      <c r="A89" s="19" t="s">
        <v>47</v>
      </c>
      <c r="B89" s="1">
        <v>77690</v>
      </c>
    </row>
    <row r="90" spans="1:2" x14ac:dyDescent="0.25">
      <c r="A90" s="19" t="s">
        <v>75</v>
      </c>
      <c r="B90" s="1">
        <v>135000</v>
      </c>
    </row>
    <row r="91" spans="1:2" x14ac:dyDescent="0.25">
      <c r="A91" s="19" t="s">
        <v>44</v>
      </c>
      <c r="B91" s="1">
        <v>31680</v>
      </c>
    </row>
    <row r="92" spans="1:2" x14ac:dyDescent="0.25">
      <c r="A92" s="18" t="s">
        <v>52</v>
      </c>
      <c r="B92" s="1">
        <v>44773.5</v>
      </c>
    </row>
    <row r="93" spans="1:2" x14ac:dyDescent="0.25">
      <c r="A93" s="19" t="s">
        <v>73</v>
      </c>
      <c r="B93" s="1">
        <v>13350</v>
      </c>
    </row>
    <row r="94" spans="1:2" x14ac:dyDescent="0.25">
      <c r="A94" s="19" t="s">
        <v>53</v>
      </c>
      <c r="B94" s="1">
        <v>5653.5</v>
      </c>
    </row>
    <row r="95" spans="1:2" x14ac:dyDescent="0.25">
      <c r="A95" s="19" t="s">
        <v>88</v>
      </c>
      <c r="B95" s="1">
        <v>10060</v>
      </c>
    </row>
    <row r="96" spans="1:2" x14ac:dyDescent="0.25">
      <c r="A96" s="19" t="s">
        <v>64</v>
      </c>
      <c r="B96" s="1">
        <v>5350</v>
      </c>
    </row>
    <row r="97" spans="1:2" x14ac:dyDescent="0.25">
      <c r="A97" s="19" t="s">
        <v>97</v>
      </c>
      <c r="B97" s="1">
        <v>7417</v>
      </c>
    </row>
    <row r="98" spans="1:2" x14ac:dyDescent="0.25">
      <c r="A98" s="19" t="s">
        <v>108</v>
      </c>
      <c r="B98" s="1">
        <v>2943</v>
      </c>
    </row>
    <row r="99" spans="1:2" x14ac:dyDescent="0.25">
      <c r="A99" s="18" t="s">
        <v>26</v>
      </c>
      <c r="B99" s="1">
        <v>175962.5</v>
      </c>
    </row>
    <row r="100" spans="1:2" x14ac:dyDescent="0.25">
      <c r="A100" s="19" t="s">
        <v>40</v>
      </c>
      <c r="B100" s="1">
        <v>29090</v>
      </c>
    </row>
    <row r="101" spans="1:2" x14ac:dyDescent="0.25">
      <c r="A101" s="19" t="s">
        <v>66</v>
      </c>
      <c r="B101" s="1">
        <v>22990</v>
      </c>
    </row>
    <row r="102" spans="1:2" x14ac:dyDescent="0.25">
      <c r="A102" s="19" t="s">
        <v>80</v>
      </c>
      <c r="B102" s="1">
        <v>39640</v>
      </c>
    </row>
    <row r="103" spans="1:2" x14ac:dyDescent="0.25">
      <c r="A103" s="19" t="s">
        <v>94</v>
      </c>
      <c r="B103" s="1">
        <v>53950</v>
      </c>
    </row>
    <row r="104" spans="1:2" x14ac:dyDescent="0.25">
      <c r="A104" s="19" t="s">
        <v>33</v>
      </c>
      <c r="B104" s="1">
        <v>15387.5</v>
      </c>
    </row>
    <row r="105" spans="1:2" x14ac:dyDescent="0.25">
      <c r="A105" s="19" t="s">
        <v>27</v>
      </c>
      <c r="B105" s="1">
        <v>14905</v>
      </c>
    </row>
    <row r="106" spans="1:2" x14ac:dyDescent="0.25">
      <c r="A106" s="18" t="s">
        <v>338</v>
      </c>
      <c r="B106" s="1">
        <v>773506</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81597-F923-456C-B8B6-63D68CC96323}">
  <dimension ref="A1:T56"/>
  <sheetViews>
    <sheetView tabSelected="1" zoomScale="92" workbookViewId="0">
      <selection activeCell="Q28" sqref="Q28"/>
    </sheetView>
  </sheetViews>
  <sheetFormatPr defaultRowHeight="15" x14ac:dyDescent="0.25"/>
  <cols>
    <col min="1" max="1" width="10.28515625" bestFit="1" customWidth="1"/>
    <col min="2" max="2" width="12.5703125" bestFit="1" customWidth="1"/>
    <col min="3" max="4" width="9.42578125" bestFit="1" customWidth="1"/>
    <col min="5" max="5" width="11.140625" bestFit="1" customWidth="1"/>
    <col min="6" max="6" width="15.28515625" bestFit="1" customWidth="1"/>
    <col min="7" max="7" width="11" bestFit="1" customWidth="1"/>
    <col min="8" max="8" width="15.85546875" bestFit="1" customWidth="1"/>
    <col min="9" max="9" width="13.7109375" bestFit="1" customWidth="1"/>
    <col min="10" max="10" width="12" bestFit="1" customWidth="1"/>
    <col min="11" max="11" width="11.28515625" bestFit="1" customWidth="1"/>
    <col min="12" max="12" width="12.42578125" bestFit="1" customWidth="1"/>
    <col min="13" max="13" width="18.42578125" bestFit="1" customWidth="1"/>
    <col min="14" max="14" width="14" bestFit="1" customWidth="1"/>
    <col min="15" max="15" width="16.28515625" bestFit="1" customWidth="1"/>
    <col min="16" max="16" width="14.85546875" bestFit="1" customWidth="1"/>
    <col min="17" max="17" width="14" bestFit="1" customWidth="1"/>
    <col min="18" max="18" width="10.5703125" bestFit="1" customWidth="1"/>
  </cols>
  <sheetData>
    <row r="1" spans="1:20" ht="44.25" customHeight="1" x14ac:dyDescent="0.7">
      <c r="A1" s="25" t="s">
        <v>340</v>
      </c>
      <c r="B1" s="25"/>
      <c r="C1" s="25"/>
      <c r="D1" s="25"/>
      <c r="E1" s="25"/>
      <c r="F1" s="25"/>
      <c r="G1" s="25"/>
      <c r="H1" s="25"/>
      <c r="I1" s="25"/>
      <c r="J1" s="25"/>
      <c r="K1" s="25"/>
      <c r="L1" s="25"/>
      <c r="M1" s="25"/>
      <c r="N1" s="25"/>
      <c r="O1" s="25"/>
      <c r="P1" s="25"/>
      <c r="Q1" s="25"/>
      <c r="R1" s="22"/>
      <c r="S1" s="22"/>
      <c r="T1" s="20"/>
    </row>
    <row r="2" spans="1:20" x14ac:dyDescent="0.25">
      <c r="A2" s="20"/>
      <c r="B2" s="20"/>
      <c r="C2" s="20"/>
      <c r="D2" s="20"/>
      <c r="E2" s="20"/>
      <c r="F2" s="20"/>
      <c r="G2" s="20"/>
      <c r="H2" s="20"/>
      <c r="I2" s="20"/>
      <c r="J2" s="20"/>
      <c r="K2" s="20"/>
      <c r="L2" s="20"/>
      <c r="M2" s="20"/>
      <c r="N2" s="20"/>
      <c r="O2" s="20"/>
      <c r="P2" s="20"/>
      <c r="Q2" s="20"/>
      <c r="R2" s="20"/>
      <c r="S2" s="20"/>
      <c r="T2" s="20"/>
    </row>
    <row r="3" spans="1:20" x14ac:dyDescent="0.25">
      <c r="A3" s="20"/>
      <c r="B3" s="20"/>
      <c r="C3" s="20"/>
      <c r="D3" s="20"/>
      <c r="E3" s="20"/>
      <c r="F3" s="20"/>
      <c r="G3" s="20"/>
      <c r="H3" s="20"/>
      <c r="I3" s="20"/>
      <c r="J3" s="20"/>
      <c r="K3" s="20"/>
      <c r="L3" s="20"/>
      <c r="M3" s="20"/>
      <c r="N3" s="20"/>
      <c r="O3" s="20"/>
      <c r="P3" s="20"/>
      <c r="Q3" s="20"/>
      <c r="R3" s="20"/>
      <c r="S3" s="20"/>
      <c r="T3" s="20"/>
    </row>
    <row r="4" spans="1:20" x14ac:dyDescent="0.25">
      <c r="A4" s="20"/>
      <c r="B4" s="21"/>
      <c r="C4" s="20"/>
      <c r="D4" s="20"/>
      <c r="E4" s="20"/>
      <c r="F4" s="20"/>
      <c r="G4" s="20"/>
      <c r="H4" s="20"/>
      <c r="I4" s="20"/>
      <c r="J4" s="20"/>
      <c r="K4" s="20"/>
      <c r="L4" s="20"/>
      <c r="M4" s="20"/>
      <c r="N4" s="20"/>
      <c r="O4" s="20"/>
      <c r="P4" s="20"/>
      <c r="Q4" s="20"/>
      <c r="R4" s="20"/>
      <c r="S4" s="20"/>
      <c r="T4" s="20"/>
    </row>
    <row r="5" spans="1:20" x14ac:dyDescent="0.25">
      <c r="A5" s="20"/>
      <c r="B5" s="21"/>
      <c r="C5" s="20"/>
      <c r="D5" s="20"/>
      <c r="E5" s="20"/>
      <c r="F5" s="20"/>
      <c r="G5" s="20"/>
      <c r="H5" s="20"/>
      <c r="I5" s="20"/>
      <c r="J5" s="20"/>
      <c r="K5" s="20"/>
      <c r="L5" s="20"/>
      <c r="M5" s="20"/>
      <c r="N5" s="20"/>
      <c r="O5" s="20"/>
      <c r="P5" s="20"/>
      <c r="Q5" s="20"/>
      <c r="R5" s="20"/>
      <c r="S5" s="20"/>
      <c r="T5" s="20"/>
    </row>
    <row r="6" spans="1:20" x14ac:dyDescent="0.25">
      <c r="A6" s="20"/>
      <c r="B6" s="21"/>
      <c r="C6" s="20"/>
      <c r="D6" s="20"/>
      <c r="E6" s="20"/>
      <c r="F6" s="20"/>
      <c r="G6" s="20"/>
      <c r="H6" s="20"/>
      <c r="I6" s="20"/>
      <c r="J6" s="20"/>
      <c r="K6" s="20"/>
      <c r="L6" s="20"/>
      <c r="M6" s="20"/>
      <c r="N6" s="20"/>
      <c r="O6" s="20"/>
      <c r="P6" s="20"/>
      <c r="Q6" s="20"/>
      <c r="R6" s="20"/>
      <c r="S6" s="20"/>
      <c r="T6" s="20"/>
    </row>
    <row r="7" spans="1:20" x14ac:dyDescent="0.25">
      <c r="A7" s="20"/>
      <c r="B7" s="21"/>
      <c r="C7" s="20"/>
      <c r="D7" s="20"/>
      <c r="E7" s="20"/>
      <c r="F7" s="20"/>
      <c r="G7" s="20"/>
      <c r="H7" s="20"/>
      <c r="I7" s="20"/>
      <c r="J7" s="20"/>
      <c r="K7" s="20"/>
      <c r="L7" s="20"/>
      <c r="M7" s="20"/>
      <c r="N7" s="20"/>
      <c r="O7" s="20"/>
      <c r="P7" s="20"/>
      <c r="Q7" s="20"/>
      <c r="R7" s="20"/>
      <c r="S7" s="20"/>
      <c r="T7" s="20"/>
    </row>
    <row r="8" spans="1:20" x14ac:dyDescent="0.25">
      <c r="A8" s="20"/>
      <c r="B8" s="20"/>
      <c r="C8" s="20"/>
      <c r="D8" s="20"/>
      <c r="E8" s="20"/>
      <c r="F8" s="20"/>
      <c r="G8" s="20"/>
      <c r="H8" s="20"/>
      <c r="I8" s="20"/>
      <c r="J8" s="20"/>
      <c r="K8" s="20"/>
      <c r="L8" s="20"/>
      <c r="M8" s="20"/>
      <c r="N8" s="20"/>
      <c r="O8" s="20"/>
      <c r="P8" s="20"/>
      <c r="Q8" s="20"/>
      <c r="R8" s="20"/>
      <c r="S8" s="20"/>
      <c r="T8" s="20"/>
    </row>
    <row r="9" spans="1:20" x14ac:dyDescent="0.25">
      <c r="A9" s="20"/>
      <c r="B9" s="20"/>
      <c r="C9" s="20"/>
      <c r="D9" s="20"/>
      <c r="E9" s="20"/>
      <c r="F9" s="20"/>
      <c r="G9" s="20"/>
      <c r="H9" s="20"/>
      <c r="I9" s="20"/>
      <c r="J9" s="20"/>
      <c r="K9" s="20"/>
      <c r="L9" s="20"/>
      <c r="M9" s="20"/>
      <c r="N9" s="20"/>
      <c r="O9" s="20"/>
      <c r="P9" s="20"/>
      <c r="Q9" s="20"/>
      <c r="R9" s="20"/>
      <c r="S9" s="20"/>
      <c r="T9" s="20"/>
    </row>
    <row r="10" spans="1:20" x14ac:dyDescent="0.25">
      <c r="A10" s="20"/>
      <c r="B10" s="20"/>
      <c r="C10" s="20"/>
      <c r="D10" s="20"/>
      <c r="E10" s="20"/>
      <c r="F10" s="20"/>
      <c r="G10" s="20"/>
      <c r="H10" s="20"/>
      <c r="I10" s="20"/>
      <c r="J10" s="20"/>
      <c r="K10" s="20"/>
      <c r="L10" s="20"/>
      <c r="M10" s="20"/>
      <c r="N10" s="20"/>
      <c r="O10" s="20"/>
      <c r="P10" s="20"/>
      <c r="Q10" s="20"/>
      <c r="R10" s="20"/>
      <c r="S10" s="20"/>
      <c r="T10" s="20"/>
    </row>
    <row r="11" spans="1:20" x14ac:dyDescent="0.25">
      <c r="A11" s="20"/>
      <c r="B11" s="20"/>
      <c r="C11" s="20"/>
      <c r="D11" s="20"/>
      <c r="E11" s="20"/>
      <c r="F11" s="20"/>
      <c r="G11" s="20"/>
      <c r="H11" s="20"/>
      <c r="I11" s="20"/>
      <c r="J11" s="20"/>
      <c r="K11" s="20"/>
      <c r="L11" s="20"/>
      <c r="M11" s="20"/>
      <c r="N11" s="20"/>
      <c r="O11" s="20"/>
      <c r="P11" s="20"/>
      <c r="Q11" s="20"/>
      <c r="R11" s="20"/>
      <c r="S11" s="20"/>
      <c r="T11" s="20"/>
    </row>
    <row r="12" spans="1:20" x14ac:dyDescent="0.25">
      <c r="A12" s="20"/>
      <c r="B12" s="20"/>
      <c r="C12" s="20"/>
      <c r="D12" s="20"/>
      <c r="E12" s="20"/>
      <c r="F12" s="20"/>
      <c r="G12" s="20"/>
      <c r="H12" s="20"/>
      <c r="I12" s="20"/>
      <c r="J12" s="20"/>
      <c r="K12" s="20"/>
      <c r="L12" s="20"/>
      <c r="M12" s="20"/>
      <c r="N12" s="20"/>
      <c r="O12" s="20"/>
      <c r="P12" s="20"/>
      <c r="Q12" s="20"/>
      <c r="R12" s="20"/>
      <c r="S12" s="20"/>
      <c r="T12" s="20"/>
    </row>
    <row r="13" spans="1:20" x14ac:dyDescent="0.25">
      <c r="A13" s="20"/>
      <c r="B13" s="20"/>
      <c r="C13" s="20"/>
      <c r="D13" s="20"/>
      <c r="E13" s="20"/>
      <c r="F13" s="20"/>
      <c r="G13" s="20"/>
      <c r="H13" s="20"/>
      <c r="I13" s="20"/>
      <c r="J13" s="20"/>
      <c r="K13" s="20"/>
      <c r="L13" s="20"/>
      <c r="M13" s="20"/>
      <c r="N13" s="20"/>
      <c r="O13" s="20"/>
      <c r="P13" s="20"/>
      <c r="Q13" s="20"/>
      <c r="R13" s="20"/>
      <c r="S13" s="20"/>
      <c r="T13" s="20"/>
    </row>
    <row r="14" spans="1:20" x14ac:dyDescent="0.25">
      <c r="A14" s="20"/>
      <c r="B14" s="20"/>
      <c r="C14" s="20"/>
      <c r="D14" s="20"/>
      <c r="E14" s="20"/>
      <c r="F14" s="20"/>
      <c r="G14" s="20"/>
      <c r="H14" s="20"/>
      <c r="I14" s="20"/>
      <c r="J14" s="20"/>
      <c r="K14" s="20"/>
      <c r="L14" s="20"/>
      <c r="M14" s="20"/>
      <c r="N14" s="20"/>
      <c r="O14" s="20"/>
      <c r="P14" s="20"/>
      <c r="Q14" s="20"/>
      <c r="R14" s="20"/>
      <c r="S14" s="20"/>
      <c r="T14" s="20"/>
    </row>
    <row r="15" spans="1:20" x14ac:dyDescent="0.25">
      <c r="A15" s="20"/>
      <c r="B15" s="20"/>
      <c r="C15" s="20"/>
      <c r="D15" s="20"/>
      <c r="E15" s="20"/>
      <c r="F15" s="20"/>
      <c r="G15" s="20"/>
      <c r="H15" s="20"/>
      <c r="I15" s="20"/>
      <c r="J15" s="20"/>
      <c r="K15" s="20"/>
      <c r="L15" s="20"/>
      <c r="M15" s="20"/>
      <c r="N15" s="20"/>
      <c r="O15" s="20"/>
      <c r="P15" s="20"/>
      <c r="Q15" s="20"/>
      <c r="R15" s="20"/>
      <c r="S15" s="20"/>
      <c r="T15" s="20"/>
    </row>
    <row r="16" spans="1:20" x14ac:dyDescent="0.25">
      <c r="A16" s="20"/>
      <c r="B16" s="20"/>
      <c r="C16" s="20"/>
      <c r="D16" s="20"/>
      <c r="E16" s="20"/>
      <c r="F16" s="20"/>
      <c r="G16" s="20"/>
      <c r="H16" s="20"/>
      <c r="I16" s="20"/>
      <c r="J16" s="20"/>
      <c r="K16" s="20"/>
      <c r="L16" s="20"/>
      <c r="M16" s="20"/>
      <c r="N16" s="20"/>
      <c r="O16" s="20"/>
      <c r="P16" s="20"/>
      <c r="Q16" s="20"/>
      <c r="R16" s="20"/>
      <c r="S16" s="20"/>
      <c r="T16" s="20"/>
    </row>
    <row r="17" spans="1:20" x14ac:dyDescent="0.25">
      <c r="A17" s="20"/>
      <c r="B17" s="20"/>
      <c r="C17" s="20"/>
      <c r="D17" s="20"/>
      <c r="E17" s="20"/>
      <c r="F17" s="20"/>
      <c r="G17" s="20"/>
      <c r="H17" s="20"/>
      <c r="I17" s="20"/>
      <c r="J17" s="20"/>
      <c r="K17" s="20"/>
      <c r="L17" s="20"/>
      <c r="M17" s="20"/>
      <c r="N17" s="20"/>
      <c r="O17" s="20"/>
      <c r="P17" s="20"/>
      <c r="Q17" s="20"/>
      <c r="R17" s="20"/>
      <c r="S17" s="20"/>
      <c r="T17" s="20"/>
    </row>
    <row r="18" spans="1:20" x14ac:dyDescent="0.25">
      <c r="A18" s="20"/>
      <c r="B18" s="20"/>
      <c r="C18" s="20"/>
      <c r="D18" s="20"/>
      <c r="E18" s="20"/>
      <c r="F18" s="20"/>
      <c r="G18" s="20"/>
      <c r="H18" s="20"/>
      <c r="I18" s="20"/>
      <c r="J18" s="20"/>
      <c r="K18" s="20"/>
      <c r="L18" s="20"/>
      <c r="M18" s="20"/>
      <c r="N18" s="20"/>
      <c r="O18" s="20"/>
      <c r="P18" s="20"/>
      <c r="Q18" s="20"/>
      <c r="R18" s="20"/>
      <c r="S18" s="20"/>
      <c r="T18" s="20"/>
    </row>
    <row r="19" spans="1:20" x14ac:dyDescent="0.25">
      <c r="A19" s="20"/>
      <c r="B19" s="20"/>
      <c r="C19" s="20"/>
      <c r="D19" s="20"/>
      <c r="E19" s="20"/>
      <c r="F19" s="20"/>
      <c r="G19" s="20"/>
      <c r="H19" s="20"/>
      <c r="I19" s="20"/>
      <c r="J19" s="20"/>
      <c r="K19" s="20"/>
      <c r="L19" s="20"/>
      <c r="M19" s="20"/>
      <c r="N19" s="20"/>
      <c r="O19" s="20"/>
      <c r="P19" s="20"/>
      <c r="Q19" s="20"/>
      <c r="R19" s="20"/>
      <c r="S19" s="20"/>
      <c r="T19" s="20"/>
    </row>
    <row r="20" spans="1:20" x14ac:dyDescent="0.25">
      <c r="A20" s="20"/>
      <c r="B20" s="20"/>
      <c r="C20" s="20"/>
      <c r="D20" s="20"/>
      <c r="E20" s="20"/>
      <c r="F20" s="20"/>
      <c r="G20" s="20"/>
      <c r="H20" s="20"/>
      <c r="I20" s="20"/>
      <c r="J20" s="20"/>
      <c r="K20" s="20"/>
      <c r="L20" s="20"/>
      <c r="M20" s="20"/>
      <c r="N20" s="20"/>
      <c r="O20" s="20"/>
      <c r="P20" s="20"/>
      <c r="Q20" s="20"/>
      <c r="R20" s="20"/>
      <c r="S20" s="20"/>
      <c r="T20" s="20"/>
    </row>
    <row r="21" spans="1:20" x14ac:dyDescent="0.25">
      <c r="A21" s="20"/>
      <c r="B21" s="20"/>
      <c r="C21" s="20"/>
      <c r="D21" s="20"/>
      <c r="E21" s="20"/>
      <c r="F21" s="20"/>
      <c r="G21" s="20"/>
      <c r="H21" s="20"/>
      <c r="I21" s="20"/>
      <c r="J21" s="20"/>
      <c r="K21" s="20"/>
      <c r="L21" s="20"/>
      <c r="M21" s="20"/>
      <c r="N21" s="20"/>
      <c r="O21" s="20"/>
      <c r="P21" s="20"/>
      <c r="Q21" s="20"/>
      <c r="R21" s="20"/>
      <c r="S21" s="20"/>
      <c r="T21" s="20"/>
    </row>
    <row r="22" spans="1:20" x14ac:dyDescent="0.25">
      <c r="A22" s="20"/>
      <c r="B22" s="20"/>
      <c r="C22" s="20"/>
      <c r="D22" s="20"/>
      <c r="E22" s="20"/>
      <c r="F22" s="20"/>
      <c r="G22" s="20"/>
      <c r="H22" s="20"/>
      <c r="I22" s="20"/>
      <c r="J22" s="20"/>
      <c r="K22" s="20"/>
      <c r="L22" s="20"/>
      <c r="M22" s="20"/>
      <c r="N22" s="20"/>
      <c r="O22" s="20"/>
      <c r="P22" s="20"/>
      <c r="Q22" s="20"/>
      <c r="R22" s="20"/>
      <c r="S22" s="20"/>
      <c r="T22" s="20"/>
    </row>
    <row r="23" spans="1:20" x14ac:dyDescent="0.25">
      <c r="A23" s="20"/>
      <c r="B23" s="20"/>
      <c r="C23" s="20"/>
      <c r="D23" s="20"/>
      <c r="E23" s="20"/>
      <c r="F23" s="20"/>
      <c r="G23" s="20"/>
      <c r="H23" s="20"/>
      <c r="I23" s="20"/>
      <c r="J23" s="20"/>
      <c r="K23" s="20"/>
      <c r="L23" s="20"/>
      <c r="M23" s="20"/>
      <c r="N23" s="20"/>
      <c r="O23" s="20"/>
      <c r="P23" s="20"/>
      <c r="Q23" s="20"/>
      <c r="R23" s="20"/>
      <c r="S23" s="20"/>
      <c r="T23" s="20"/>
    </row>
    <row r="24" spans="1:20" x14ac:dyDescent="0.25">
      <c r="A24" s="20"/>
      <c r="B24" s="20"/>
      <c r="C24" s="20"/>
      <c r="D24" s="20"/>
      <c r="E24" s="20"/>
      <c r="F24" s="20"/>
      <c r="G24" s="20"/>
      <c r="H24" s="20"/>
      <c r="I24" s="20"/>
      <c r="J24" s="20"/>
      <c r="K24" s="20"/>
      <c r="L24" s="20"/>
      <c r="M24" s="20"/>
      <c r="N24" s="20"/>
      <c r="O24" s="20"/>
      <c r="P24" s="20"/>
      <c r="Q24" s="20"/>
      <c r="R24" s="20"/>
      <c r="S24" s="20"/>
      <c r="T24" s="20"/>
    </row>
    <row r="25" spans="1:20" x14ac:dyDescent="0.25">
      <c r="A25" s="20"/>
      <c r="B25" s="20"/>
      <c r="C25" s="20"/>
      <c r="D25" s="20"/>
      <c r="E25" s="20"/>
      <c r="F25" s="20"/>
      <c r="G25" s="20"/>
      <c r="H25" s="20"/>
      <c r="I25" s="20"/>
      <c r="J25" s="20"/>
      <c r="K25" s="20"/>
      <c r="L25" s="20"/>
      <c r="M25" s="20"/>
      <c r="N25" s="20"/>
      <c r="O25" s="20"/>
      <c r="P25" s="20"/>
      <c r="Q25" s="20"/>
      <c r="R25" s="20"/>
      <c r="S25" s="20"/>
      <c r="T25" s="20"/>
    </row>
    <row r="26" spans="1:20" x14ac:dyDescent="0.25">
      <c r="A26" s="20"/>
      <c r="B26" s="20"/>
      <c r="C26" s="20"/>
      <c r="D26" s="20"/>
      <c r="E26" s="20"/>
      <c r="F26" s="20"/>
      <c r="G26" s="20"/>
      <c r="H26" s="20"/>
      <c r="I26" s="20"/>
      <c r="J26" s="20"/>
      <c r="K26" s="20"/>
      <c r="L26" s="20"/>
      <c r="M26" s="20"/>
      <c r="N26" s="20"/>
      <c r="O26" s="20"/>
      <c r="P26" s="20"/>
      <c r="Q26" s="20"/>
      <c r="R26" s="20"/>
      <c r="S26" s="20"/>
      <c r="T26" s="20"/>
    </row>
    <row r="27" spans="1:20" x14ac:dyDescent="0.25">
      <c r="A27" s="20"/>
      <c r="B27" s="20"/>
      <c r="C27" s="20"/>
      <c r="D27" s="20"/>
      <c r="E27" s="20"/>
      <c r="F27" s="20"/>
      <c r="G27" s="20"/>
      <c r="H27" s="20"/>
      <c r="I27" s="20"/>
      <c r="J27" s="20"/>
      <c r="K27" s="20"/>
      <c r="L27" s="20"/>
      <c r="M27" s="20"/>
      <c r="N27" s="20"/>
      <c r="O27" s="20"/>
      <c r="P27" s="20"/>
      <c r="Q27" s="20"/>
      <c r="R27" s="20"/>
      <c r="S27" s="20"/>
      <c r="T27" s="20"/>
    </row>
    <row r="28" spans="1:20" x14ac:dyDescent="0.25">
      <c r="A28" s="20"/>
      <c r="B28" s="20"/>
      <c r="C28" s="20"/>
      <c r="D28" s="20"/>
      <c r="E28" s="20"/>
      <c r="F28" s="20"/>
      <c r="G28" s="20"/>
      <c r="H28" s="20"/>
      <c r="I28" s="20"/>
      <c r="J28" s="20"/>
      <c r="K28" s="20"/>
      <c r="L28" s="20"/>
      <c r="M28" s="20"/>
      <c r="N28" s="20"/>
      <c r="O28" s="20"/>
      <c r="P28" s="20"/>
      <c r="Q28" s="20"/>
      <c r="R28" s="20"/>
      <c r="S28" s="20"/>
      <c r="T28" s="20"/>
    </row>
    <row r="29" spans="1:20" x14ac:dyDescent="0.25">
      <c r="A29" s="20"/>
      <c r="B29" s="20"/>
      <c r="C29" s="20"/>
      <c r="D29" s="20"/>
      <c r="E29" s="20"/>
      <c r="F29" s="20"/>
      <c r="G29" s="20"/>
      <c r="H29" s="20"/>
      <c r="I29" s="20"/>
      <c r="J29" s="20"/>
      <c r="K29" s="20"/>
      <c r="L29" s="20"/>
      <c r="M29" s="20"/>
      <c r="N29" s="20"/>
      <c r="O29" s="20"/>
      <c r="P29" s="20"/>
      <c r="Q29" s="20"/>
      <c r="R29" s="20"/>
      <c r="S29" s="20"/>
      <c r="T29" s="20"/>
    </row>
    <row r="30" spans="1:20" x14ac:dyDescent="0.25">
      <c r="A30" s="20"/>
      <c r="B30" s="20"/>
      <c r="C30" s="20"/>
      <c r="D30" s="20"/>
      <c r="E30" s="20"/>
      <c r="F30" s="20"/>
      <c r="G30" s="20"/>
      <c r="H30" s="20"/>
      <c r="I30" s="20"/>
      <c r="J30" s="20"/>
      <c r="K30" s="20"/>
      <c r="L30" s="20"/>
      <c r="M30" s="20"/>
      <c r="N30" s="20"/>
      <c r="O30" s="20" t="s">
        <v>349</v>
      </c>
      <c r="P30" s="20"/>
      <c r="Q30" s="20"/>
      <c r="R30" s="20"/>
      <c r="S30" s="20"/>
      <c r="T30" s="20"/>
    </row>
    <row r="31" spans="1:20" x14ac:dyDescent="0.25">
      <c r="A31" s="20"/>
      <c r="B31" s="20"/>
      <c r="C31" s="20"/>
      <c r="D31" s="20"/>
      <c r="E31" s="20"/>
      <c r="F31" s="20"/>
      <c r="G31" s="20"/>
      <c r="H31" s="20"/>
      <c r="I31" s="20"/>
      <c r="J31" s="20"/>
      <c r="K31" s="20"/>
      <c r="L31" s="20"/>
      <c r="M31" s="20"/>
      <c r="N31" s="20"/>
      <c r="O31" s="20"/>
      <c r="P31" s="20"/>
      <c r="Q31" s="20"/>
      <c r="R31" s="20"/>
      <c r="S31" s="20"/>
      <c r="T31" s="20"/>
    </row>
    <row r="32" spans="1:20" x14ac:dyDescent="0.25">
      <c r="A32" s="20"/>
      <c r="B32" s="20"/>
      <c r="C32" s="20"/>
      <c r="D32" s="20"/>
      <c r="E32" s="20"/>
      <c r="F32" s="20"/>
      <c r="G32" s="20"/>
      <c r="H32" s="20"/>
      <c r="I32" s="20"/>
      <c r="J32" s="20"/>
      <c r="K32" s="20"/>
      <c r="L32" s="20"/>
      <c r="M32" s="20"/>
      <c r="N32" s="20"/>
      <c r="O32" s="20"/>
      <c r="P32" s="20"/>
      <c r="Q32" s="20"/>
      <c r="R32" s="20"/>
      <c r="S32" s="20"/>
      <c r="T32" s="20"/>
    </row>
    <row r="33" spans="1:20" x14ac:dyDescent="0.25">
      <c r="A33" s="20"/>
      <c r="B33" s="20"/>
      <c r="C33" s="20"/>
      <c r="D33" s="20"/>
      <c r="E33" s="20"/>
      <c r="F33" s="20"/>
      <c r="G33" s="20"/>
      <c r="H33" s="20"/>
      <c r="I33" s="20"/>
      <c r="J33" s="20"/>
      <c r="K33" s="20"/>
      <c r="L33" s="20"/>
      <c r="M33" s="20"/>
      <c r="N33" s="20"/>
      <c r="O33" s="20"/>
      <c r="P33" s="20"/>
      <c r="Q33" s="20"/>
      <c r="R33" s="20"/>
      <c r="S33" s="20"/>
      <c r="T33" s="20"/>
    </row>
    <row r="34" spans="1:20" x14ac:dyDescent="0.25">
      <c r="A34" s="20"/>
      <c r="B34" s="20"/>
      <c r="C34" s="20"/>
      <c r="D34" s="20"/>
      <c r="E34" s="20"/>
      <c r="F34" s="20"/>
      <c r="G34" s="20"/>
      <c r="H34" s="20"/>
      <c r="I34" s="20"/>
      <c r="J34" s="20"/>
      <c r="K34" s="20"/>
      <c r="L34" s="20"/>
      <c r="M34" s="20"/>
      <c r="N34" s="20"/>
      <c r="O34" s="20"/>
      <c r="P34" s="20"/>
      <c r="Q34" s="20"/>
      <c r="R34" s="20"/>
      <c r="S34" s="20"/>
      <c r="T34" s="20"/>
    </row>
    <row r="35" spans="1:20" x14ac:dyDescent="0.25">
      <c r="A35" s="20"/>
      <c r="B35" s="20"/>
      <c r="C35" s="20"/>
      <c r="D35" s="20"/>
      <c r="E35" s="20"/>
      <c r="F35" s="20"/>
      <c r="G35" s="20"/>
      <c r="H35" s="20"/>
      <c r="I35" s="20"/>
      <c r="J35" s="20"/>
      <c r="K35" s="20"/>
      <c r="L35" s="20"/>
      <c r="M35" s="20"/>
      <c r="N35" s="20"/>
      <c r="O35" s="20"/>
      <c r="P35" s="20"/>
      <c r="Q35" s="20"/>
      <c r="R35" s="20"/>
      <c r="S35" s="20"/>
      <c r="T35" s="20"/>
    </row>
    <row r="36" spans="1:20" x14ac:dyDescent="0.25">
      <c r="A36" s="20"/>
      <c r="B36" s="20"/>
      <c r="C36" s="20"/>
      <c r="D36" s="20"/>
      <c r="E36" s="20"/>
      <c r="F36" s="20"/>
      <c r="G36" s="20"/>
      <c r="H36" s="20"/>
      <c r="I36" s="20"/>
      <c r="J36" s="20"/>
      <c r="K36" s="20"/>
      <c r="L36" s="20"/>
      <c r="M36" s="20"/>
      <c r="N36" s="20"/>
      <c r="O36" s="20"/>
      <c r="P36" s="20"/>
      <c r="Q36" s="20"/>
      <c r="R36" s="20"/>
      <c r="S36" s="20"/>
      <c r="T36" s="20"/>
    </row>
    <row r="37" spans="1:20" x14ac:dyDescent="0.25">
      <c r="A37" s="20"/>
      <c r="B37" s="20"/>
      <c r="C37" s="20"/>
      <c r="D37" s="20"/>
      <c r="E37" s="20"/>
      <c r="F37" s="20"/>
      <c r="G37" s="20"/>
      <c r="H37" s="20"/>
      <c r="I37" s="20"/>
      <c r="J37" s="20"/>
      <c r="K37" s="20"/>
      <c r="L37" s="20"/>
      <c r="M37" s="20"/>
      <c r="N37" s="20"/>
      <c r="O37" s="20"/>
      <c r="P37" s="20"/>
      <c r="Q37" s="20"/>
      <c r="R37" s="20"/>
      <c r="S37" s="20"/>
      <c r="T37" s="20"/>
    </row>
    <row r="38" spans="1:20" x14ac:dyDescent="0.25">
      <c r="A38" s="20"/>
      <c r="B38" s="20"/>
      <c r="C38" s="20"/>
      <c r="D38" s="20"/>
      <c r="E38" s="20"/>
      <c r="F38" s="20"/>
      <c r="G38" s="20"/>
      <c r="H38" s="20"/>
      <c r="I38" s="20"/>
      <c r="J38" s="20"/>
      <c r="K38" s="20"/>
      <c r="L38" s="20"/>
      <c r="M38" s="20"/>
      <c r="N38" s="20"/>
      <c r="O38" s="20"/>
      <c r="P38" s="20"/>
      <c r="Q38" s="20"/>
      <c r="R38" s="20"/>
      <c r="S38" s="20"/>
      <c r="T38" s="20"/>
    </row>
    <row r="39" spans="1:20" x14ac:dyDescent="0.25">
      <c r="A39" s="20"/>
      <c r="B39" s="20"/>
      <c r="C39" s="20"/>
      <c r="D39" s="20"/>
      <c r="E39" s="20"/>
      <c r="F39" s="20"/>
      <c r="G39" s="20"/>
      <c r="H39" s="20"/>
      <c r="I39" s="20"/>
      <c r="J39" s="20"/>
      <c r="K39" s="20"/>
      <c r="L39" s="20"/>
      <c r="M39" s="20"/>
      <c r="N39" s="20"/>
      <c r="O39" s="20"/>
      <c r="P39" s="20"/>
      <c r="Q39" s="20"/>
      <c r="R39" s="20"/>
      <c r="S39" s="20"/>
      <c r="T39" s="20"/>
    </row>
    <row r="40" spans="1:20" x14ac:dyDescent="0.25">
      <c r="A40" s="20"/>
      <c r="B40" s="20"/>
      <c r="C40" s="20"/>
      <c r="D40" s="20"/>
      <c r="E40" s="20"/>
      <c r="F40" s="20"/>
      <c r="G40" s="20"/>
      <c r="H40" s="20"/>
      <c r="I40" s="20"/>
      <c r="J40" s="20"/>
      <c r="K40" s="20"/>
      <c r="L40" s="20"/>
      <c r="M40" s="20"/>
      <c r="N40" s="20"/>
      <c r="O40" s="20"/>
      <c r="P40" s="20"/>
      <c r="Q40" s="20"/>
      <c r="R40" s="20"/>
      <c r="S40" s="20"/>
      <c r="T40" s="20"/>
    </row>
    <row r="41" spans="1:20" x14ac:dyDescent="0.25">
      <c r="A41" s="20"/>
      <c r="B41" s="20"/>
      <c r="C41" s="20"/>
      <c r="D41" s="20"/>
      <c r="E41" s="20"/>
      <c r="F41" s="20"/>
      <c r="G41" s="20"/>
      <c r="H41" s="20"/>
      <c r="I41" s="20"/>
      <c r="J41" s="20"/>
      <c r="K41" s="20"/>
      <c r="L41" s="20"/>
      <c r="M41" s="20"/>
      <c r="N41" s="20"/>
      <c r="O41" s="20"/>
      <c r="P41" s="20"/>
      <c r="Q41" s="20"/>
      <c r="R41" s="20"/>
      <c r="S41" s="20"/>
      <c r="T41" s="20"/>
    </row>
    <row r="42" spans="1:20" x14ac:dyDescent="0.25">
      <c r="A42" s="20"/>
      <c r="B42" s="20"/>
      <c r="C42" s="20"/>
      <c r="D42" s="20"/>
      <c r="E42" s="20"/>
      <c r="F42" s="20"/>
      <c r="G42" s="20"/>
      <c r="H42" s="20"/>
      <c r="I42" s="20"/>
      <c r="J42" s="20"/>
      <c r="K42" s="20"/>
      <c r="L42" s="20"/>
      <c r="M42" s="20"/>
      <c r="N42" s="20"/>
      <c r="O42" s="20"/>
      <c r="P42" s="20"/>
      <c r="Q42" s="20"/>
      <c r="R42" s="20"/>
      <c r="S42" s="20"/>
      <c r="T42" s="20"/>
    </row>
    <row r="43" spans="1:20" x14ac:dyDescent="0.25">
      <c r="A43" s="20"/>
      <c r="B43" s="20"/>
      <c r="C43" s="20"/>
      <c r="D43" s="20"/>
      <c r="E43" s="20"/>
      <c r="F43" s="20"/>
      <c r="G43" s="20"/>
      <c r="H43" s="20"/>
      <c r="I43" s="20"/>
      <c r="J43" s="20"/>
      <c r="K43" s="20"/>
      <c r="L43" s="20"/>
      <c r="M43" s="20"/>
      <c r="N43" s="20"/>
      <c r="O43" s="20"/>
      <c r="P43" s="20"/>
      <c r="Q43" s="20"/>
      <c r="R43" s="20"/>
      <c r="S43" s="20"/>
      <c r="T43" s="20"/>
    </row>
    <row r="44" spans="1:20" x14ac:dyDescent="0.25">
      <c r="A44" s="20"/>
      <c r="B44" s="20"/>
      <c r="C44" s="20"/>
      <c r="D44" s="20"/>
      <c r="E44" s="20"/>
      <c r="F44" s="20"/>
      <c r="G44" s="20"/>
      <c r="H44" s="20"/>
      <c r="I44" s="20"/>
      <c r="J44" s="20"/>
      <c r="K44" s="20"/>
      <c r="L44" s="20"/>
      <c r="M44" s="20"/>
      <c r="N44" s="20"/>
      <c r="O44" s="20"/>
      <c r="P44" s="20"/>
      <c r="Q44" s="20"/>
      <c r="R44" s="20"/>
      <c r="S44" s="20"/>
      <c r="T44" s="20"/>
    </row>
    <row r="45" spans="1:20" x14ac:dyDescent="0.25">
      <c r="A45" s="20"/>
      <c r="B45" s="20"/>
      <c r="C45" s="20"/>
      <c r="D45" s="20"/>
      <c r="E45" s="20"/>
      <c r="F45" s="20"/>
      <c r="G45" s="20"/>
      <c r="H45" s="20"/>
      <c r="I45" s="20"/>
      <c r="J45" s="20"/>
      <c r="K45" s="20"/>
      <c r="L45" s="20"/>
      <c r="M45" s="20"/>
      <c r="N45" s="20"/>
      <c r="O45" s="20"/>
      <c r="P45" s="20"/>
      <c r="Q45" s="20"/>
      <c r="R45" s="20"/>
      <c r="S45" s="20"/>
      <c r="T45" s="20"/>
    </row>
    <row r="46" spans="1:20" x14ac:dyDescent="0.25">
      <c r="A46" s="20"/>
      <c r="B46" s="20"/>
      <c r="C46" s="20"/>
      <c r="D46" s="20"/>
      <c r="E46" s="20"/>
      <c r="F46" s="20"/>
      <c r="G46" s="20"/>
      <c r="H46" s="20"/>
      <c r="I46" s="20"/>
      <c r="J46" s="20"/>
      <c r="K46" s="20"/>
      <c r="L46" s="20"/>
      <c r="M46" s="20"/>
      <c r="N46" s="20"/>
      <c r="O46" s="20"/>
      <c r="P46" s="20"/>
      <c r="Q46" s="20"/>
      <c r="R46" s="20"/>
      <c r="S46" s="20"/>
      <c r="T46" s="20"/>
    </row>
    <row r="47" spans="1:20" x14ac:dyDescent="0.25">
      <c r="A47" s="20"/>
      <c r="B47" s="20"/>
      <c r="C47" s="20"/>
      <c r="D47" s="20"/>
      <c r="E47" s="20"/>
      <c r="F47" s="20"/>
      <c r="G47" s="20"/>
      <c r="H47" s="20"/>
      <c r="I47" s="20"/>
      <c r="J47" s="20"/>
      <c r="K47" s="20"/>
      <c r="L47" s="20"/>
      <c r="M47" s="20"/>
      <c r="N47" s="20"/>
      <c r="O47" s="20"/>
      <c r="P47" s="20"/>
      <c r="Q47" s="20"/>
      <c r="R47" s="20"/>
      <c r="S47" s="20"/>
      <c r="T47" s="20"/>
    </row>
    <row r="48" spans="1:20" x14ac:dyDescent="0.25">
      <c r="A48" s="20"/>
      <c r="B48" s="20"/>
      <c r="C48" s="20"/>
      <c r="D48" s="20"/>
      <c r="E48" s="20"/>
      <c r="F48" s="20"/>
      <c r="G48" s="20"/>
      <c r="H48" s="20"/>
      <c r="I48" s="20"/>
      <c r="J48" s="20"/>
      <c r="K48" s="20"/>
      <c r="L48" s="20"/>
      <c r="M48" s="20"/>
      <c r="N48" s="20"/>
      <c r="O48" s="20"/>
      <c r="P48" s="20"/>
      <c r="Q48" s="20"/>
      <c r="R48" s="20"/>
      <c r="S48" s="20"/>
      <c r="T48" s="20"/>
    </row>
    <row r="49" spans="1:20" x14ac:dyDescent="0.25">
      <c r="A49" s="20"/>
      <c r="B49" s="20"/>
      <c r="C49" s="20"/>
      <c r="D49" s="20"/>
      <c r="E49" s="20"/>
      <c r="F49" s="20"/>
      <c r="G49" s="20"/>
      <c r="H49" s="20"/>
      <c r="I49" s="20"/>
      <c r="J49" s="20"/>
      <c r="K49" s="20"/>
      <c r="L49" s="20"/>
      <c r="M49" s="20"/>
      <c r="N49" s="20"/>
      <c r="O49" s="20"/>
      <c r="P49" s="20"/>
      <c r="Q49" s="20"/>
      <c r="R49" s="20"/>
      <c r="S49" s="20"/>
      <c r="T49" s="20"/>
    </row>
    <row r="50" spans="1:20" x14ac:dyDescent="0.25">
      <c r="A50" s="20"/>
      <c r="B50" s="20"/>
      <c r="C50" s="20"/>
      <c r="D50" s="20"/>
      <c r="E50" s="20"/>
      <c r="F50" s="20"/>
      <c r="G50" s="20"/>
      <c r="H50" s="20"/>
      <c r="I50" s="20"/>
      <c r="J50" s="20"/>
      <c r="K50" s="20"/>
      <c r="L50" s="20"/>
      <c r="M50" s="20"/>
      <c r="N50" s="20"/>
      <c r="O50" s="20"/>
      <c r="P50" s="20"/>
      <c r="Q50" s="20"/>
      <c r="R50" s="20"/>
      <c r="S50" s="20"/>
      <c r="T50" s="20"/>
    </row>
    <row r="51" spans="1:20" x14ac:dyDescent="0.25">
      <c r="A51" s="20"/>
      <c r="B51" s="20"/>
      <c r="C51" s="20"/>
      <c r="D51" s="20"/>
      <c r="E51" s="20"/>
      <c r="F51" s="20"/>
      <c r="G51" s="20"/>
      <c r="H51" s="20"/>
      <c r="I51" s="20"/>
      <c r="J51" s="20"/>
      <c r="K51" s="20"/>
      <c r="L51" s="20"/>
      <c r="M51" s="20"/>
      <c r="N51" s="20"/>
      <c r="O51" s="20"/>
      <c r="P51" s="20"/>
      <c r="Q51" s="20"/>
      <c r="R51" s="20"/>
      <c r="S51" s="20"/>
      <c r="T51" s="20"/>
    </row>
    <row r="52" spans="1:20" x14ac:dyDescent="0.25">
      <c r="A52" s="20"/>
      <c r="B52" s="20"/>
      <c r="C52" s="20"/>
      <c r="D52" s="20"/>
      <c r="E52" s="20"/>
      <c r="F52" s="20"/>
      <c r="G52" s="20"/>
      <c r="H52" s="20"/>
      <c r="I52" s="20"/>
      <c r="J52" s="20"/>
      <c r="K52" s="20"/>
      <c r="L52" s="20"/>
      <c r="M52" s="20"/>
      <c r="N52" s="20"/>
      <c r="O52" s="20"/>
      <c r="P52" s="20"/>
      <c r="Q52" s="20"/>
      <c r="R52" s="20"/>
      <c r="S52" s="20"/>
      <c r="T52" s="20"/>
    </row>
    <row r="53" spans="1:20" x14ac:dyDescent="0.25">
      <c r="A53" s="20"/>
      <c r="B53" s="20"/>
      <c r="C53" s="20"/>
      <c r="D53" s="20"/>
      <c r="E53" s="20"/>
      <c r="F53" s="20"/>
      <c r="G53" s="20"/>
      <c r="H53" s="20"/>
      <c r="I53" s="20"/>
      <c r="J53" s="20"/>
      <c r="K53" s="20"/>
      <c r="L53" s="20"/>
      <c r="M53" s="20"/>
      <c r="N53" s="20"/>
      <c r="O53" s="20"/>
      <c r="P53" s="20"/>
      <c r="Q53" s="20"/>
      <c r="R53" s="20"/>
      <c r="S53" s="20"/>
      <c r="T53" s="20"/>
    </row>
    <row r="54" spans="1:20" x14ac:dyDescent="0.25">
      <c r="A54" s="20"/>
      <c r="B54" s="20"/>
      <c r="C54" s="20"/>
      <c r="D54" s="20"/>
      <c r="E54" s="20"/>
      <c r="F54" s="20"/>
      <c r="G54" s="20"/>
      <c r="H54" s="20"/>
      <c r="I54" s="20"/>
      <c r="J54" s="20"/>
      <c r="K54" s="20"/>
      <c r="L54" s="20"/>
      <c r="M54" s="20"/>
      <c r="N54" s="20"/>
      <c r="O54" s="20"/>
      <c r="P54" s="20"/>
      <c r="Q54" s="20"/>
      <c r="R54" s="20"/>
      <c r="S54" s="20"/>
      <c r="T54" s="20"/>
    </row>
    <row r="55" spans="1:20" x14ac:dyDescent="0.25">
      <c r="A55" s="20"/>
      <c r="B55" s="20"/>
      <c r="C55" s="20"/>
      <c r="D55" s="20"/>
      <c r="E55" s="20"/>
      <c r="F55" s="20"/>
      <c r="G55" s="20"/>
      <c r="H55" s="20"/>
      <c r="I55" s="20"/>
      <c r="J55" s="20"/>
      <c r="K55" s="20"/>
      <c r="L55" s="20"/>
      <c r="M55" s="20"/>
      <c r="N55" s="20"/>
      <c r="O55" s="20"/>
      <c r="P55" s="20"/>
      <c r="Q55" s="20"/>
      <c r="R55" s="20"/>
      <c r="S55" s="20"/>
      <c r="T55" s="20"/>
    </row>
    <row r="56" spans="1:20" x14ac:dyDescent="0.25">
      <c r="A56" s="20"/>
      <c r="B56" s="20"/>
      <c r="C56" s="20"/>
      <c r="D56" s="20"/>
      <c r="E56" s="20"/>
      <c r="F56" s="20"/>
      <c r="G56" s="20"/>
      <c r="H56" s="20"/>
      <c r="I56" s="20"/>
      <c r="J56" s="20"/>
      <c r="K56" s="20"/>
      <c r="L56" s="20"/>
      <c r="M56" s="20"/>
      <c r="N56" s="20"/>
      <c r="O56" s="20"/>
      <c r="P56" s="20"/>
      <c r="Q56" s="20"/>
      <c r="R56" s="20"/>
      <c r="S56" s="20"/>
      <c r="T56" s="20"/>
    </row>
  </sheetData>
  <mergeCells count="1">
    <mergeCell ref="A1:Q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2FEA9-06F3-417B-809B-64D2D1F57C9D}">
  <dimension ref="A1:X62"/>
  <sheetViews>
    <sheetView zoomScale="95" workbookViewId="0">
      <selection activeCell="Y17" sqref="Y17"/>
    </sheetView>
  </sheetViews>
  <sheetFormatPr defaultRowHeight="15" x14ac:dyDescent="0.25"/>
  <sheetData>
    <row r="1" spans="1:24" x14ac:dyDescent="0.25">
      <c r="A1" s="23"/>
      <c r="B1" s="23"/>
      <c r="C1" s="23"/>
      <c r="D1" s="23"/>
      <c r="E1" s="23"/>
      <c r="F1" s="23"/>
      <c r="G1" s="23"/>
      <c r="H1" s="23"/>
      <c r="I1" s="23"/>
      <c r="J1" s="23"/>
      <c r="K1" s="23"/>
      <c r="L1" s="23"/>
      <c r="M1" s="23"/>
      <c r="N1" s="23"/>
      <c r="O1" s="23"/>
      <c r="P1" s="23"/>
      <c r="Q1" s="23"/>
      <c r="R1" s="23"/>
      <c r="S1" s="23"/>
      <c r="T1" s="23"/>
      <c r="U1" s="23"/>
      <c r="V1" s="23"/>
      <c r="W1" s="23"/>
      <c r="X1" s="23"/>
    </row>
    <row r="2" spans="1:24" x14ac:dyDescent="0.25">
      <c r="A2" s="23"/>
      <c r="B2" s="23"/>
      <c r="C2" s="23"/>
      <c r="D2" s="23"/>
      <c r="E2" s="23"/>
      <c r="F2" s="23"/>
      <c r="G2" s="23"/>
      <c r="H2" s="23"/>
      <c r="I2" s="23"/>
      <c r="J2" s="23"/>
      <c r="K2" s="23"/>
      <c r="L2" s="23"/>
      <c r="M2" s="23"/>
      <c r="N2" s="23"/>
      <c r="O2" s="23"/>
      <c r="P2" s="23"/>
      <c r="Q2" s="23"/>
      <c r="R2" s="23"/>
      <c r="S2" s="23"/>
      <c r="T2" s="23"/>
      <c r="U2" s="23"/>
      <c r="V2" s="23"/>
      <c r="W2" s="23"/>
      <c r="X2" s="23"/>
    </row>
    <row r="3" spans="1:24" x14ac:dyDescent="0.25">
      <c r="A3" s="23"/>
      <c r="B3" s="23"/>
      <c r="C3" s="23"/>
      <c r="D3" s="23"/>
      <c r="E3" s="23"/>
      <c r="F3" s="23"/>
      <c r="G3" s="23"/>
      <c r="H3" s="23"/>
      <c r="I3" s="23"/>
      <c r="J3" s="23"/>
      <c r="K3" s="23"/>
      <c r="L3" s="23"/>
      <c r="M3" s="23"/>
      <c r="N3" s="23"/>
      <c r="O3" s="23"/>
      <c r="P3" s="23"/>
      <c r="Q3" s="23"/>
      <c r="R3" s="23"/>
      <c r="S3" s="23"/>
      <c r="T3" s="23"/>
      <c r="U3" s="23"/>
      <c r="V3" s="23"/>
      <c r="W3" s="23"/>
      <c r="X3" s="23"/>
    </row>
    <row r="4" spans="1:24" x14ac:dyDescent="0.25">
      <c r="A4" s="23"/>
      <c r="B4" s="23"/>
      <c r="C4" s="23"/>
      <c r="D4" s="23"/>
      <c r="E4" s="23"/>
      <c r="F4" s="23"/>
      <c r="G4" s="23"/>
      <c r="H4" s="23"/>
      <c r="I4" s="23"/>
      <c r="J4" s="23"/>
      <c r="K4" s="23"/>
      <c r="L4" s="23"/>
      <c r="M4" s="23"/>
      <c r="N4" s="23"/>
      <c r="O4" s="23"/>
      <c r="P4" s="23"/>
      <c r="Q4" s="23"/>
      <c r="R4" s="23"/>
      <c r="S4" s="23"/>
      <c r="T4" s="23"/>
      <c r="U4" s="23"/>
      <c r="V4" s="23"/>
      <c r="W4" s="23"/>
      <c r="X4" s="23"/>
    </row>
    <row r="5" spans="1:24" x14ac:dyDescent="0.25">
      <c r="A5" s="23"/>
      <c r="B5" s="23"/>
      <c r="C5" s="23"/>
      <c r="D5" s="23"/>
      <c r="E5" s="23"/>
      <c r="F5" s="23"/>
      <c r="G5" s="23"/>
      <c r="H5" s="23"/>
      <c r="I5" s="23"/>
      <c r="J5" s="23"/>
      <c r="K5" s="23"/>
      <c r="L5" s="23"/>
      <c r="M5" s="23"/>
      <c r="N5" s="23"/>
      <c r="O5" s="23"/>
      <c r="P5" s="23"/>
      <c r="Q5" s="23"/>
      <c r="R5" s="23"/>
      <c r="S5" s="23"/>
      <c r="T5" s="23"/>
      <c r="U5" s="23"/>
      <c r="V5" s="23"/>
      <c r="W5" s="23"/>
      <c r="X5" s="23"/>
    </row>
    <row r="6" spans="1:24" x14ac:dyDescent="0.25">
      <c r="A6" s="23"/>
      <c r="B6" s="23"/>
      <c r="C6" s="23"/>
      <c r="D6" s="23"/>
      <c r="E6" s="23"/>
      <c r="F6" s="23"/>
      <c r="G6" s="23"/>
      <c r="H6" s="23"/>
      <c r="I6" s="23"/>
      <c r="J6" s="23"/>
      <c r="K6" s="23"/>
      <c r="L6" s="23"/>
      <c r="M6" s="23"/>
      <c r="N6" s="23"/>
      <c r="O6" s="23"/>
      <c r="P6" s="23"/>
      <c r="Q6" s="23"/>
      <c r="R6" s="23"/>
      <c r="S6" s="23"/>
      <c r="T6" s="23"/>
      <c r="U6" s="23"/>
      <c r="V6" s="23"/>
      <c r="W6" s="23"/>
      <c r="X6" s="23"/>
    </row>
    <row r="7" spans="1:24" x14ac:dyDescent="0.25">
      <c r="A7" s="23"/>
      <c r="B7" s="23"/>
      <c r="C7" s="23"/>
      <c r="D7" s="23"/>
      <c r="E7" s="23"/>
      <c r="F7" s="23"/>
      <c r="G7" s="23"/>
      <c r="H7" s="23"/>
      <c r="I7" s="23"/>
      <c r="J7" s="23"/>
      <c r="K7" s="23"/>
      <c r="L7" s="23"/>
      <c r="M7" s="23"/>
      <c r="N7" s="23"/>
      <c r="O7" s="23"/>
      <c r="P7" s="23"/>
      <c r="Q7" s="23"/>
      <c r="R7" s="23"/>
      <c r="S7" s="23"/>
      <c r="T7" s="23"/>
      <c r="U7" s="23"/>
      <c r="V7" s="23"/>
      <c r="W7" s="23"/>
      <c r="X7" s="23"/>
    </row>
    <row r="8" spans="1:24" x14ac:dyDescent="0.25">
      <c r="A8" s="23"/>
      <c r="B8" s="23"/>
      <c r="C8" s="23"/>
      <c r="D8" s="23"/>
      <c r="E8" s="23"/>
      <c r="F8" s="23"/>
      <c r="G8" s="23"/>
      <c r="H8" s="23"/>
      <c r="I8" s="23"/>
      <c r="J8" s="23"/>
      <c r="K8" s="23"/>
      <c r="L8" s="23"/>
      <c r="M8" s="23"/>
      <c r="N8" s="23"/>
      <c r="O8" s="23"/>
      <c r="P8" s="23"/>
      <c r="Q8" s="23"/>
      <c r="R8" s="23"/>
      <c r="S8" s="23"/>
      <c r="T8" s="23"/>
      <c r="U8" s="23"/>
      <c r="V8" s="23"/>
      <c r="W8" s="23"/>
      <c r="X8" s="23"/>
    </row>
    <row r="9" spans="1:24" x14ac:dyDescent="0.25">
      <c r="A9" s="23"/>
      <c r="B9" s="23"/>
      <c r="C9" s="23"/>
      <c r="D9" s="23"/>
      <c r="E9" s="23"/>
      <c r="F9" s="23"/>
      <c r="G9" s="23"/>
      <c r="H9" s="23"/>
      <c r="I9" s="23"/>
      <c r="J9" s="23"/>
      <c r="K9" s="23"/>
      <c r="L9" s="23"/>
      <c r="M9" s="23"/>
      <c r="N9" s="23"/>
      <c r="O9" s="23"/>
      <c r="P9" s="23"/>
      <c r="Q9" s="23"/>
      <c r="R9" s="23"/>
      <c r="S9" s="23"/>
      <c r="T9" s="23"/>
      <c r="U9" s="23"/>
      <c r="V9" s="23"/>
      <c r="W9" s="23"/>
      <c r="X9" s="23"/>
    </row>
    <row r="10" spans="1:24" x14ac:dyDescent="0.25">
      <c r="A10" s="23"/>
      <c r="B10" s="23"/>
      <c r="C10" s="23"/>
      <c r="D10" s="23"/>
      <c r="E10" s="23"/>
      <c r="F10" s="23"/>
      <c r="G10" s="23"/>
      <c r="H10" s="23"/>
      <c r="I10" s="23"/>
      <c r="J10" s="23"/>
      <c r="K10" s="23"/>
      <c r="L10" s="23"/>
      <c r="M10" s="23"/>
      <c r="N10" s="23"/>
      <c r="O10" s="23"/>
      <c r="P10" s="23"/>
      <c r="Q10" s="23"/>
      <c r="R10" s="23"/>
      <c r="S10" s="23"/>
      <c r="T10" s="23"/>
      <c r="U10" s="23"/>
      <c r="V10" s="23"/>
      <c r="W10" s="23"/>
      <c r="X10" s="23"/>
    </row>
    <row r="11" spans="1:24" x14ac:dyDescent="0.25">
      <c r="A11" s="23"/>
      <c r="B11" s="23"/>
      <c r="C11" s="23"/>
      <c r="D11" s="23"/>
      <c r="E11" s="23"/>
      <c r="F11" s="23"/>
      <c r="G11" s="23"/>
      <c r="H11" s="23"/>
      <c r="I11" s="23"/>
      <c r="J11" s="23"/>
      <c r="K11" s="23"/>
      <c r="L11" s="23"/>
      <c r="M11" s="23"/>
      <c r="N11" s="23"/>
      <c r="O11" s="23"/>
      <c r="P11" s="23"/>
      <c r="Q11" s="23"/>
      <c r="R11" s="23"/>
      <c r="S11" s="23"/>
      <c r="T11" s="23"/>
      <c r="U11" s="23"/>
      <c r="V11" s="23"/>
      <c r="W11" s="23"/>
      <c r="X11" s="23"/>
    </row>
    <row r="12" spans="1:24" x14ac:dyDescent="0.25">
      <c r="A12" s="23"/>
      <c r="B12" s="23"/>
      <c r="C12" s="23"/>
      <c r="D12" s="23"/>
      <c r="E12" s="23"/>
      <c r="F12" s="23"/>
      <c r="G12" s="23"/>
      <c r="H12" s="23"/>
      <c r="I12" s="23"/>
      <c r="J12" s="23"/>
      <c r="K12" s="23"/>
      <c r="L12" s="23"/>
      <c r="M12" s="23"/>
      <c r="N12" s="23"/>
      <c r="O12" s="23"/>
      <c r="P12" s="23"/>
      <c r="Q12" s="23"/>
      <c r="R12" s="23"/>
      <c r="S12" s="23"/>
      <c r="T12" s="23"/>
      <c r="U12" s="23"/>
      <c r="V12" s="23"/>
      <c r="W12" s="23"/>
      <c r="X12" s="23"/>
    </row>
    <row r="13" spans="1:24" x14ac:dyDescent="0.25">
      <c r="A13" s="23"/>
      <c r="B13" s="23"/>
      <c r="C13" s="23"/>
      <c r="D13" s="23"/>
      <c r="E13" s="23"/>
      <c r="F13" s="23"/>
      <c r="G13" s="23"/>
      <c r="H13" s="23"/>
      <c r="I13" s="23"/>
      <c r="J13" s="23"/>
      <c r="K13" s="23"/>
      <c r="L13" s="23"/>
      <c r="M13" s="23"/>
      <c r="N13" s="23"/>
      <c r="O13" s="23"/>
      <c r="P13" s="23"/>
      <c r="Q13" s="23"/>
      <c r="R13" s="23"/>
      <c r="S13" s="23"/>
      <c r="T13" s="23"/>
      <c r="U13" s="23"/>
      <c r="V13" s="23"/>
      <c r="W13" s="23"/>
      <c r="X13" s="23"/>
    </row>
    <row r="14" spans="1:24" x14ac:dyDescent="0.25">
      <c r="A14" s="23"/>
      <c r="B14" s="23"/>
      <c r="C14" s="23"/>
      <c r="D14" s="23"/>
      <c r="E14" s="23"/>
      <c r="F14" s="23"/>
      <c r="G14" s="23"/>
      <c r="H14" s="23"/>
      <c r="I14" s="23"/>
      <c r="J14" s="23"/>
      <c r="K14" s="23"/>
      <c r="L14" s="23"/>
      <c r="M14" s="23"/>
      <c r="N14" s="23"/>
      <c r="O14" s="23"/>
      <c r="P14" s="23"/>
      <c r="Q14" s="23"/>
      <c r="R14" s="23"/>
      <c r="S14" s="23"/>
      <c r="T14" s="23"/>
      <c r="U14" s="23"/>
      <c r="V14" s="23"/>
      <c r="W14" s="23"/>
      <c r="X14" s="23"/>
    </row>
    <row r="15" spans="1:24" x14ac:dyDescent="0.25">
      <c r="A15" s="23"/>
      <c r="B15" s="23"/>
      <c r="C15" s="23"/>
      <c r="D15" s="23"/>
      <c r="E15" s="23"/>
      <c r="F15" s="23"/>
      <c r="G15" s="23"/>
      <c r="H15" s="23"/>
      <c r="I15" s="23"/>
      <c r="J15" s="23"/>
      <c r="K15" s="23"/>
      <c r="L15" s="23"/>
      <c r="M15" s="23"/>
      <c r="N15" s="23"/>
      <c r="O15" s="23"/>
      <c r="P15" s="23"/>
      <c r="Q15" s="23"/>
      <c r="R15" s="23"/>
      <c r="S15" s="23"/>
      <c r="T15" s="23"/>
      <c r="U15" s="23"/>
      <c r="V15" s="23"/>
      <c r="W15" s="23"/>
      <c r="X15" s="23"/>
    </row>
    <row r="16" spans="1:24" x14ac:dyDescent="0.25">
      <c r="A16" s="23"/>
      <c r="B16" s="23"/>
      <c r="C16" s="23"/>
      <c r="D16" s="23"/>
      <c r="E16" s="23"/>
      <c r="F16" s="23"/>
      <c r="G16" s="23"/>
      <c r="H16" s="23"/>
      <c r="I16" s="23"/>
      <c r="J16" s="23"/>
      <c r="K16" s="23"/>
      <c r="L16" s="23"/>
      <c r="M16" s="23"/>
      <c r="N16" s="23"/>
      <c r="O16" s="23"/>
      <c r="P16" s="23"/>
      <c r="Q16" s="23"/>
      <c r="R16" s="23"/>
      <c r="S16" s="23"/>
      <c r="T16" s="23"/>
      <c r="U16" s="23"/>
      <c r="V16" s="23"/>
      <c r="W16" s="23"/>
      <c r="X16" s="23"/>
    </row>
    <row r="17" spans="1:24" x14ac:dyDescent="0.25">
      <c r="A17" s="23"/>
      <c r="B17" s="23"/>
      <c r="C17" s="23"/>
      <c r="D17" s="23"/>
      <c r="E17" s="23"/>
      <c r="F17" s="23"/>
      <c r="G17" s="23"/>
      <c r="H17" s="23"/>
      <c r="I17" s="23"/>
      <c r="J17" s="23"/>
      <c r="K17" s="23"/>
      <c r="L17" s="23"/>
      <c r="M17" s="23"/>
      <c r="N17" s="23"/>
      <c r="O17" s="23"/>
      <c r="P17" s="23"/>
      <c r="Q17" s="23"/>
      <c r="R17" s="23"/>
      <c r="S17" s="23"/>
      <c r="T17" s="23"/>
      <c r="U17" s="23"/>
      <c r="V17" s="23"/>
      <c r="W17" s="23"/>
      <c r="X17" s="23"/>
    </row>
    <row r="18" spans="1:24" x14ac:dyDescent="0.25">
      <c r="A18" s="23"/>
      <c r="B18" s="23"/>
      <c r="C18" s="23"/>
      <c r="D18" s="23"/>
      <c r="E18" s="23"/>
      <c r="F18" s="23"/>
      <c r="G18" s="23"/>
      <c r="H18" s="23"/>
      <c r="I18" s="23"/>
      <c r="J18" s="23"/>
      <c r="K18" s="23"/>
      <c r="L18" s="23"/>
      <c r="M18" s="23"/>
      <c r="N18" s="23"/>
      <c r="O18" s="23"/>
      <c r="P18" s="23"/>
      <c r="Q18" s="23"/>
      <c r="R18" s="23"/>
      <c r="S18" s="23"/>
      <c r="T18" s="23"/>
      <c r="U18" s="23"/>
      <c r="V18" s="23"/>
      <c r="W18" s="23"/>
      <c r="X18" s="23"/>
    </row>
    <row r="19" spans="1:24" x14ac:dyDescent="0.25">
      <c r="A19" s="23"/>
      <c r="B19" s="23"/>
      <c r="C19" s="23"/>
      <c r="D19" s="23"/>
      <c r="E19" s="23"/>
      <c r="F19" s="23"/>
      <c r="G19" s="23"/>
      <c r="H19" s="23"/>
      <c r="I19" s="23"/>
      <c r="J19" s="23"/>
      <c r="K19" s="23"/>
      <c r="L19" s="23"/>
      <c r="M19" s="23"/>
      <c r="N19" s="23"/>
      <c r="O19" s="23"/>
      <c r="P19" s="23"/>
      <c r="Q19" s="23"/>
      <c r="R19" s="23"/>
      <c r="S19" s="23"/>
      <c r="T19" s="23"/>
      <c r="U19" s="23"/>
      <c r="V19" s="23"/>
      <c r="W19" s="23"/>
      <c r="X19" s="23"/>
    </row>
    <row r="20" spans="1:24" x14ac:dyDescent="0.25">
      <c r="A20" s="23"/>
      <c r="B20" s="23"/>
      <c r="C20" s="23"/>
      <c r="D20" s="23"/>
      <c r="E20" s="23"/>
      <c r="F20" s="23"/>
      <c r="G20" s="23"/>
      <c r="H20" s="23"/>
      <c r="I20" s="23"/>
      <c r="J20" s="23"/>
      <c r="K20" s="23"/>
      <c r="L20" s="23"/>
      <c r="M20" s="23"/>
      <c r="N20" s="23"/>
      <c r="O20" s="23"/>
      <c r="P20" s="23"/>
      <c r="Q20" s="23"/>
      <c r="R20" s="23"/>
      <c r="S20" s="23"/>
      <c r="T20" s="23"/>
      <c r="U20" s="23"/>
      <c r="V20" s="23"/>
      <c r="W20" s="23"/>
      <c r="X20" s="23"/>
    </row>
    <row r="21" spans="1:24" x14ac:dyDescent="0.25">
      <c r="A21" s="23"/>
      <c r="B21" s="23"/>
      <c r="C21" s="23"/>
      <c r="D21" s="23"/>
      <c r="E21" s="23"/>
      <c r="F21" s="23"/>
      <c r="G21" s="23"/>
      <c r="H21" s="23"/>
      <c r="I21" s="23"/>
      <c r="J21" s="23"/>
      <c r="K21" s="23"/>
      <c r="L21" s="23"/>
      <c r="M21" s="23"/>
      <c r="N21" s="23"/>
      <c r="O21" s="23"/>
      <c r="P21" s="23"/>
      <c r="Q21" s="23"/>
      <c r="R21" s="23"/>
      <c r="S21" s="23"/>
      <c r="T21" s="23"/>
      <c r="U21" s="23"/>
      <c r="V21" s="23"/>
      <c r="W21" s="23"/>
      <c r="X21" s="23"/>
    </row>
    <row r="22" spans="1:24" x14ac:dyDescent="0.25">
      <c r="A22" s="23"/>
      <c r="B22" s="23"/>
      <c r="C22" s="23"/>
      <c r="D22" s="23"/>
      <c r="E22" s="23"/>
      <c r="F22" s="23"/>
      <c r="G22" s="23"/>
      <c r="H22" s="23"/>
      <c r="I22" s="23"/>
      <c r="J22" s="23"/>
      <c r="K22" s="23"/>
      <c r="L22" s="23"/>
      <c r="M22" s="23"/>
      <c r="N22" s="23"/>
      <c r="O22" s="23"/>
      <c r="P22" s="23"/>
      <c r="Q22" s="23"/>
      <c r="R22" s="23"/>
      <c r="S22" s="23"/>
      <c r="T22" s="23"/>
      <c r="U22" s="23"/>
      <c r="V22" s="23"/>
      <c r="W22" s="23"/>
      <c r="X22" s="23"/>
    </row>
    <row r="23" spans="1:24" x14ac:dyDescent="0.25">
      <c r="A23" s="23"/>
      <c r="B23" s="23"/>
      <c r="C23" s="23"/>
      <c r="D23" s="23"/>
      <c r="E23" s="23"/>
      <c r="F23" s="23"/>
      <c r="G23" s="23"/>
      <c r="H23" s="23"/>
      <c r="I23" s="23"/>
      <c r="J23" s="23"/>
      <c r="K23" s="23"/>
      <c r="L23" s="23"/>
      <c r="M23" s="23"/>
      <c r="N23" s="23"/>
      <c r="O23" s="23"/>
      <c r="P23" s="23"/>
      <c r="Q23" s="23"/>
      <c r="R23" s="23"/>
      <c r="S23" s="23"/>
      <c r="T23" s="23"/>
      <c r="U23" s="23"/>
      <c r="V23" s="23"/>
      <c r="W23" s="23"/>
      <c r="X23" s="23"/>
    </row>
    <row r="24" spans="1:2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row>
    <row r="25" spans="1:24" x14ac:dyDescent="0.25">
      <c r="A25" s="23"/>
      <c r="B25" s="23"/>
      <c r="C25" s="23"/>
      <c r="D25" s="23"/>
      <c r="E25" s="23"/>
      <c r="F25" s="23"/>
      <c r="G25" s="23"/>
      <c r="H25" s="23"/>
      <c r="I25" s="23"/>
      <c r="J25" s="23"/>
      <c r="K25" s="23"/>
      <c r="L25" s="23"/>
      <c r="M25" s="23"/>
      <c r="N25" s="23"/>
      <c r="O25" s="23"/>
      <c r="P25" s="23"/>
      <c r="Q25" s="23"/>
      <c r="R25" s="23"/>
      <c r="S25" s="23"/>
      <c r="T25" s="23"/>
      <c r="U25" s="23"/>
      <c r="V25" s="23"/>
      <c r="W25" s="23"/>
      <c r="X25" s="23"/>
    </row>
    <row r="26" spans="1:24" x14ac:dyDescent="0.25">
      <c r="A26" s="23"/>
      <c r="B26" s="23"/>
      <c r="C26" s="23"/>
      <c r="D26" s="23"/>
      <c r="E26" s="23"/>
      <c r="F26" s="23"/>
      <c r="G26" s="23"/>
      <c r="H26" s="23"/>
      <c r="I26" s="23"/>
      <c r="J26" s="23"/>
      <c r="K26" s="23"/>
      <c r="L26" s="23"/>
      <c r="M26" s="23"/>
      <c r="N26" s="23"/>
      <c r="O26" s="23"/>
      <c r="P26" s="23"/>
      <c r="Q26" s="23"/>
      <c r="R26" s="23"/>
      <c r="S26" s="23"/>
      <c r="T26" s="23"/>
      <c r="U26" s="23"/>
      <c r="V26" s="23"/>
      <c r="W26" s="23"/>
      <c r="X26" s="23"/>
    </row>
    <row r="27" spans="1:24" x14ac:dyDescent="0.25">
      <c r="A27" s="23"/>
      <c r="B27" s="23"/>
      <c r="C27" s="23"/>
      <c r="D27" s="23"/>
      <c r="E27" s="23"/>
      <c r="F27" s="23"/>
      <c r="G27" s="23"/>
      <c r="H27" s="23"/>
      <c r="I27" s="23"/>
      <c r="J27" s="23"/>
      <c r="K27" s="23"/>
      <c r="L27" s="23"/>
      <c r="M27" s="23"/>
      <c r="N27" s="23"/>
      <c r="O27" s="23"/>
      <c r="P27" s="23"/>
      <c r="Q27" s="23"/>
      <c r="R27" s="23"/>
      <c r="S27" s="23"/>
      <c r="T27" s="23"/>
      <c r="U27" s="23"/>
      <c r="V27" s="23"/>
      <c r="W27" s="23"/>
      <c r="X27" s="23"/>
    </row>
    <row r="28" spans="1:24" x14ac:dyDescent="0.25">
      <c r="A28" s="23"/>
      <c r="B28" s="23"/>
      <c r="C28" s="23"/>
      <c r="D28" s="23"/>
      <c r="E28" s="23"/>
      <c r="F28" s="23"/>
      <c r="G28" s="23"/>
      <c r="H28" s="23"/>
      <c r="I28" s="23"/>
      <c r="J28" s="23"/>
      <c r="K28" s="23"/>
      <c r="L28" s="23"/>
      <c r="M28" s="23"/>
      <c r="N28" s="23"/>
      <c r="O28" s="23"/>
      <c r="P28" s="23"/>
      <c r="Q28" s="23"/>
      <c r="R28" s="23"/>
      <c r="S28" s="23"/>
      <c r="T28" s="23"/>
      <c r="U28" s="23"/>
      <c r="V28" s="23"/>
      <c r="W28" s="23"/>
      <c r="X28" s="23"/>
    </row>
    <row r="29" spans="1:24" x14ac:dyDescent="0.25">
      <c r="A29" s="23"/>
      <c r="B29" s="23"/>
      <c r="C29" s="23"/>
      <c r="D29" s="23"/>
      <c r="E29" s="23"/>
      <c r="F29" s="23"/>
      <c r="G29" s="23"/>
      <c r="H29" s="23"/>
      <c r="I29" s="23"/>
      <c r="J29" s="23"/>
      <c r="K29" s="23"/>
      <c r="L29" s="23"/>
      <c r="M29" s="23"/>
      <c r="N29" s="23"/>
      <c r="O29" s="23"/>
      <c r="P29" s="23"/>
      <c r="Q29" s="23"/>
      <c r="R29" s="23"/>
      <c r="S29" s="23"/>
      <c r="T29" s="23"/>
      <c r="U29" s="23"/>
      <c r="V29" s="23"/>
      <c r="W29" s="23"/>
      <c r="X29" s="23"/>
    </row>
    <row r="30" spans="1:24" x14ac:dyDescent="0.25">
      <c r="A30" s="23"/>
      <c r="B30" s="23"/>
      <c r="C30" s="23"/>
      <c r="D30" s="23"/>
      <c r="E30" s="23"/>
      <c r="F30" s="23"/>
      <c r="G30" s="23"/>
      <c r="H30" s="23"/>
      <c r="I30" s="23"/>
      <c r="J30" s="23"/>
      <c r="K30" s="23"/>
      <c r="L30" s="23"/>
      <c r="M30" s="23"/>
      <c r="N30" s="23"/>
      <c r="O30" s="23"/>
      <c r="P30" s="23"/>
      <c r="Q30" s="23"/>
      <c r="R30" s="23"/>
      <c r="S30" s="23"/>
      <c r="T30" s="23"/>
      <c r="U30" s="23"/>
      <c r="V30" s="23"/>
      <c r="W30" s="23"/>
      <c r="X30" s="23"/>
    </row>
    <row r="31" spans="1:24" x14ac:dyDescent="0.25">
      <c r="A31" s="23"/>
      <c r="B31" s="23"/>
      <c r="C31" s="23"/>
      <c r="D31" s="23"/>
      <c r="E31" s="23"/>
      <c r="F31" s="23"/>
      <c r="G31" s="23"/>
      <c r="H31" s="23"/>
      <c r="I31" s="23"/>
      <c r="J31" s="23"/>
      <c r="K31" s="23"/>
      <c r="L31" s="23"/>
      <c r="M31" s="23"/>
      <c r="N31" s="23"/>
      <c r="O31" s="23"/>
      <c r="P31" s="23"/>
      <c r="Q31" s="23"/>
      <c r="R31" s="23"/>
      <c r="S31" s="23"/>
      <c r="T31" s="23"/>
      <c r="U31" s="23"/>
      <c r="V31" s="23"/>
      <c r="W31" s="23"/>
      <c r="X31" s="23"/>
    </row>
    <row r="32" spans="1:24" x14ac:dyDescent="0.25">
      <c r="A32" s="23"/>
      <c r="B32" s="23"/>
      <c r="C32" s="23"/>
      <c r="D32" s="23"/>
      <c r="E32" s="23"/>
      <c r="F32" s="23"/>
      <c r="G32" s="23"/>
      <c r="H32" s="23"/>
      <c r="I32" s="23"/>
      <c r="J32" s="23"/>
      <c r="K32" s="23"/>
      <c r="L32" s="23"/>
      <c r="M32" s="23"/>
      <c r="N32" s="23"/>
      <c r="O32" s="23"/>
      <c r="P32" s="23"/>
      <c r="Q32" s="23"/>
      <c r="R32" s="23"/>
      <c r="S32" s="23"/>
      <c r="T32" s="23"/>
      <c r="U32" s="23"/>
      <c r="V32" s="23"/>
      <c r="W32" s="23"/>
      <c r="X32" s="23"/>
    </row>
    <row r="33" spans="1:24" x14ac:dyDescent="0.25">
      <c r="A33" s="23"/>
      <c r="B33" s="23"/>
      <c r="C33" s="23"/>
      <c r="D33" s="23"/>
      <c r="E33" s="23"/>
      <c r="F33" s="23"/>
      <c r="G33" s="23"/>
      <c r="H33" s="23"/>
      <c r="I33" s="23"/>
      <c r="J33" s="23"/>
      <c r="K33" s="23"/>
      <c r="L33" s="23"/>
      <c r="M33" s="23"/>
      <c r="N33" s="23"/>
      <c r="O33" s="23"/>
      <c r="P33" s="23"/>
      <c r="Q33" s="23"/>
      <c r="R33" s="23"/>
      <c r="S33" s="23"/>
      <c r="T33" s="23"/>
      <c r="U33" s="23"/>
      <c r="V33" s="23"/>
      <c r="W33" s="23"/>
      <c r="X33" s="23"/>
    </row>
    <row r="34" spans="1:24" x14ac:dyDescent="0.25">
      <c r="A34" s="23"/>
      <c r="B34" s="23"/>
      <c r="C34" s="23"/>
      <c r="D34" s="23"/>
      <c r="E34" s="23"/>
      <c r="F34" s="23"/>
      <c r="G34" s="23"/>
      <c r="H34" s="23"/>
      <c r="I34" s="23"/>
      <c r="J34" s="23"/>
      <c r="K34" s="23"/>
      <c r="L34" s="23"/>
      <c r="M34" s="23"/>
      <c r="N34" s="23"/>
      <c r="O34" s="23"/>
      <c r="P34" s="23"/>
      <c r="Q34" s="23"/>
      <c r="R34" s="23"/>
      <c r="S34" s="23"/>
      <c r="T34" s="23"/>
      <c r="U34" s="23"/>
      <c r="V34" s="23"/>
      <c r="W34" s="23"/>
      <c r="X34" s="23"/>
    </row>
    <row r="35" spans="1:24" x14ac:dyDescent="0.25">
      <c r="A35" s="23"/>
      <c r="B35" s="23"/>
      <c r="C35" s="23"/>
      <c r="D35" s="23"/>
      <c r="E35" s="23"/>
      <c r="F35" s="23"/>
      <c r="G35" s="23"/>
      <c r="H35" s="23"/>
      <c r="I35" s="23"/>
      <c r="J35" s="23"/>
      <c r="K35" s="23"/>
      <c r="L35" s="23"/>
      <c r="M35" s="23"/>
      <c r="N35" s="23"/>
      <c r="O35" s="23"/>
      <c r="P35" s="23"/>
      <c r="Q35" s="23"/>
      <c r="R35" s="23"/>
      <c r="S35" s="23"/>
      <c r="T35" s="23"/>
      <c r="U35" s="23"/>
      <c r="V35" s="23"/>
      <c r="W35" s="23"/>
      <c r="X35" s="23"/>
    </row>
    <row r="36" spans="1:24" x14ac:dyDescent="0.25">
      <c r="A36" s="23"/>
      <c r="B36" s="23"/>
      <c r="C36" s="23"/>
      <c r="D36" s="23"/>
      <c r="E36" s="23"/>
      <c r="F36" s="23"/>
      <c r="G36" s="23"/>
      <c r="H36" s="23"/>
      <c r="I36" s="23"/>
      <c r="J36" s="23"/>
      <c r="K36" s="23"/>
      <c r="L36" s="23"/>
      <c r="M36" s="23"/>
      <c r="N36" s="23"/>
      <c r="O36" s="23"/>
      <c r="P36" s="23"/>
      <c r="Q36" s="23"/>
      <c r="R36" s="23"/>
      <c r="S36" s="23"/>
      <c r="T36" s="23"/>
      <c r="U36" s="23"/>
      <c r="V36" s="23"/>
      <c r="W36" s="23"/>
      <c r="X36" s="23"/>
    </row>
    <row r="37" spans="1:24" x14ac:dyDescent="0.25">
      <c r="A37" s="23"/>
      <c r="B37" s="23"/>
      <c r="C37" s="23"/>
      <c r="D37" s="23"/>
      <c r="E37" s="23"/>
      <c r="F37" s="23"/>
      <c r="G37" s="23"/>
      <c r="H37" s="23"/>
      <c r="I37" s="23"/>
      <c r="J37" s="23"/>
      <c r="K37" s="23"/>
      <c r="L37" s="23"/>
      <c r="M37" s="23"/>
      <c r="N37" s="23"/>
      <c r="O37" s="23"/>
      <c r="P37" s="23"/>
      <c r="Q37" s="23"/>
      <c r="R37" s="23"/>
      <c r="S37" s="23"/>
      <c r="T37" s="23"/>
      <c r="U37" s="23"/>
      <c r="V37" s="23"/>
      <c r="W37" s="23"/>
      <c r="X37" s="23"/>
    </row>
    <row r="38" spans="1:24" x14ac:dyDescent="0.25">
      <c r="A38" s="23"/>
      <c r="B38" s="23"/>
      <c r="C38" s="23"/>
      <c r="D38" s="23"/>
      <c r="E38" s="23"/>
      <c r="F38" s="23"/>
      <c r="G38" s="23"/>
      <c r="H38" s="23"/>
      <c r="I38" s="23"/>
      <c r="J38" s="23"/>
      <c r="K38" s="23"/>
      <c r="L38" s="23"/>
      <c r="M38" s="23"/>
      <c r="N38" s="23"/>
      <c r="O38" s="23"/>
      <c r="P38" s="23"/>
      <c r="Q38" s="23"/>
      <c r="R38" s="23"/>
      <c r="S38" s="23"/>
      <c r="T38" s="23"/>
      <c r="U38" s="23"/>
      <c r="V38" s="23"/>
      <c r="W38" s="23"/>
      <c r="X38" s="23"/>
    </row>
    <row r="39" spans="1:24" x14ac:dyDescent="0.25">
      <c r="A39" s="23"/>
      <c r="B39" s="23"/>
      <c r="C39" s="23"/>
      <c r="D39" s="23"/>
      <c r="E39" s="23"/>
      <c r="F39" s="23"/>
      <c r="G39" s="23"/>
      <c r="H39" s="23"/>
      <c r="I39" s="23"/>
      <c r="J39" s="23"/>
      <c r="K39" s="23"/>
      <c r="L39" s="23"/>
      <c r="M39" s="23"/>
      <c r="N39" s="23"/>
      <c r="O39" s="23"/>
      <c r="P39" s="23"/>
      <c r="Q39" s="23"/>
      <c r="R39" s="23"/>
      <c r="S39" s="23"/>
      <c r="T39" s="23"/>
      <c r="U39" s="23"/>
      <c r="V39" s="23"/>
      <c r="W39" s="23"/>
      <c r="X39" s="23"/>
    </row>
    <row r="40" spans="1:24" x14ac:dyDescent="0.25">
      <c r="A40" s="23"/>
      <c r="B40" s="23"/>
      <c r="C40" s="23"/>
      <c r="D40" s="23"/>
      <c r="E40" s="23"/>
      <c r="F40" s="23"/>
      <c r="G40" s="23"/>
      <c r="H40" s="23"/>
      <c r="I40" s="23"/>
      <c r="J40" s="23"/>
      <c r="K40" s="23"/>
      <c r="L40" s="23"/>
      <c r="M40" s="23"/>
      <c r="N40" s="23"/>
      <c r="O40" s="23"/>
      <c r="P40" s="23"/>
      <c r="Q40" s="23"/>
      <c r="R40" s="23"/>
      <c r="S40" s="23"/>
      <c r="T40" s="23"/>
      <c r="U40" s="23"/>
      <c r="V40" s="23"/>
      <c r="W40" s="23"/>
      <c r="X40" s="23"/>
    </row>
    <row r="41" spans="1:24" x14ac:dyDescent="0.25">
      <c r="A41" s="23"/>
      <c r="B41" s="23"/>
      <c r="C41" s="23"/>
      <c r="D41" s="23"/>
      <c r="E41" s="23"/>
      <c r="F41" s="23"/>
      <c r="G41" s="23"/>
      <c r="H41" s="23"/>
      <c r="I41" s="23"/>
      <c r="J41" s="23"/>
      <c r="K41" s="23"/>
      <c r="L41" s="23"/>
      <c r="M41" s="23"/>
      <c r="N41" s="23"/>
      <c r="O41" s="23"/>
      <c r="P41" s="23"/>
      <c r="Q41" s="23"/>
      <c r="R41" s="23"/>
      <c r="S41" s="23"/>
      <c r="T41" s="23"/>
      <c r="U41" s="23"/>
      <c r="V41" s="23"/>
      <c r="W41" s="23"/>
      <c r="X41" s="23"/>
    </row>
    <row r="42" spans="1:24" x14ac:dyDescent="0.25">
      <c r="A42" s="23"/>
      <c r="B42" s="23"/>
      <c r="C42" s="23"/>
      <c r="D42" s="23"/>
      <c r="E42" s="23"/>
      <c r="F42" s="23"/>
      <c r="G42" s="23"/>
      <c r="H42" s="23"/>
      <c r="I42" s="23"/>
      <c r="J42" s="23"/>
      <c r="K42" s="23"/>
      <c r="L42" s="23"/>
      <c r="M42" s="23"/>
      <c r="N42" s="23"/>
      <c r="O42" s="23"/>
      <c r="P42" s="23"/>
      <c r="Q42" s="23"/>
      <c r="R42" s="23"/>
      <c r="S42" s="23"/>
      <c r="T42" s="23"/>
      <c r="U42" s="23"/>
      <c r="V42" s="23"/>
      <c r="W42" s="23"/>
      <c r="X42" s="23"/>
    </row>
    <row r="43" spans="1:24" x14ac:dyDescent="0.25">
      <c r="A43" s="23"/>
      <c r="B43" s="23"/>
      <c r="C43" s="23"/>
      <c r="D43" s="23"/>
      <c r="E43" s="23"/>
      <c r="F43" s="23"/>
      <c r="G43" s="23"/>
      <c r="H43" s="23"/>
      <c r="I43" s="23"/>
      <c r="J43" s="23"/>
      <c r="K43" s="23"/>
      <c r="L43" s="23"/>
      <c r="M43" s="23"/>
      <c r="N43" s="23"/>
      <c r="O43" s="23"/>
      <c r="P43" s="23"/>
      <c r="Q43" s="23"/>
      <c r="R43" s="23"/>
      <c r="S43" s="23"/>
      <c r="T43" s="23"/>
      <c r="U43" s="23"/>
      <c r="V43" s="23"/>
      <c r="W43" s="23"/>
      <c r="X43" s="23"/>
    </row>
    <row r="44" spans="1:24" x14ac:dyDescent="0.25">
      <c r="A44" s="23"/>
      <c r="B44" s="23"/>
      <c r="C44" s="23"/>
      <c r="D44" s="23"/>
      <c r="E44" s="23"/>
      <c r="F44" s="23"/>
      <c r="G44" s="23"/>
      <c r="H44" s="23"/>
      <c r="I44" s="23"/>
      <c r="J44" s="23"/>
      <c r="K44" s="23"/>
      <c r="L44" s="23"/>
      <c r="M44" s="23"/>
      <c r="N44" s="23"/>
      <c r="O44" s="23"/>
      <c r="P44" s="23"/>
      <c r="Q44" s="23"/>
      <c r="R44" s="23"/>
      <c r="S44" s="23"/>
      <c r="T44" s="23"/>
      <c r="U44" s="23"/>
      <c r="V44" s="23"/>
      <c r="W44" s="23"/>
      <c r="X44" s="23"/>
    </row>
    <row r="45" spans="1:24" x14ac:dyDescent="0.25">
      <c r="A45" s="23"/>
      <c r="B45" s="23"/>
      <c r="C45" s="23"/>
      <c r="D45" s="23"/>
      <c r="E45" s="23"/>
      <c r="F45" s="23"/>
      <c r="G45" s="23"/>
      <c r="H45" s="23"/>
      <c r="I45" s="23"/>
      <c r="J45" s="23"/>
      <c r="K45" s="23"/>
      <c r="L45" s="23"/>
      <c r="M45" s="23"/>
      <c r="N45" s="23"/>
      <c r="O45" s="23"/>
      <c r="P45" s="23"/>
      <c r="Q45" s="23"/>
      <c r="R45" s="23"/>
      <c r="S45" s="23"/>
      <c r="T45" s="23"/>
      <c r="U45" s="23"/>
      <c r="V45" s="23"/>
      <c r="W45" s="23"/>
      <c r="X45" s="23"/>
    </row>
    <row r="46" spans="1:24" x14ac:dyDescent="0.25">
      <c r="A46" s="23"/>
      <c r="B46" s="23"/>
      <c r="C46" s="23"/>
      <c r="D46" s="23"/>
      <c r="E46" s="23"/>
      <c r="F46" s="23"/>
      <c r="G46" s="23"/>
      <c r="H46" s="23"/>
      <c r="I46" s="23"/>
      <c r="J46" s="23"/>
      <c r="K46" s="23"/>
      <c r="L46" s="23"/>
      <c r="M46" s="23"/>
      <c r="N46" s="23"/>
      <c r="O46" s="23"/>
      <c r="P46" s="23"/>
      <c r="Q46" s="23"/>
      <c r="R46" s="23"/>
      <c r="S46" s="23"/>
      <c r="T46" s="23"/>
      <c r="U46" s="23"/>
      <c r="V46" s="23"/>
      <c r="W46" s="23"/>
      <c r="X46" s="23"/>
    </row>
    <row r="47" spans="1:24" x14ac:dyDescent="0.25">
      <c r="A47" s="23"/>
      <c r="B47" s="23"/>
      <c r="C47" s="23"/>
      <c r="D47" s="23"/>
      <c r="E47" s="23"/>
      <c r="F47" s="23"/>
      <c r="G47" s="23"/>
      <c r="H47" s="23"/>
      <c r="I47" s="23"/>
      <c r="J47" s="23"/>
      <c r="K47" s="23"/>
      <c r="L47" s="23"/>
      <c r="M47" s="23"/>
      <c r="N47" s="23"/>
      <c r="O47" s="23"/>
      <c r="P47" s="23"/>
      <c r="Q47" s="23"/>
      <c r="R47" s="23"/>
      <c r="S47" s="23"/>
      <c r="T47" s="23"/>
      <c r="U47" s="23"/>
      <c r="V47" s="23"/>
      <c r="W47" s="23"/>
      <c r="X47" s="23"/>
    </row>
    <row r="48" spans="1:24" x14ac:dyDescent="0.25">
      <c r="A48" s="23"/>
      <c r="B48" s="23"/>
      <c r="C48" s="23"/>
      <c r="D48" s="23"/>
      <c r="E48" s="23"/>
      <c r="F48" s="23"/>
      <c r="G48" s="23"/>
      <c r="H48" s="23"/>
      <c r="I48" s="23"/>
      <c r="J48" s="23"/>
      <c r="K48" s="23"/>
      <c r="L48" s="23"/>
      <c r="M48" s="23"/>
      <c r="N48" s="23"/>
      <c r="O48" s="23"/>
      <c r="P48" s="23"/>
      <c r="Q48" s="23"/>
      <c r="R48" s="23"/>
      <c r="S48" s="23"/>
      <c r="T48" s="23"/>
      <c r="U48" s="23"/>
      <c r="V48" s="23"/>
      <c r="W48" s="23"/>
      <c r="X48" s="23"/>
    </row>
    <row r="49" spans="1:24" x14ac:dyDescent="0.25">
      <c r="A49" s="23"/>
      <c r="B49" s="23"/>
      <c r="C49" s="23"/>
      <c r="D49" s="23"/>
      <c r="E49" s="23"/>
      <c r="F49" s="23"/>
      <c r="G49" s="23"/>
      <c r="H49" s="23"/>
      <c r="I49" s="23"/>
      <c r="J49" s="23"/>
      <c r="K49" s="23"/>
      <c r="L49" s="23"/>
      <c r="M49" s="23"/>
      <c r="N49" s="23"/>
      <c r="O49" s="23"/>
      <c r="P49" s="23"/>
      <c r="Q49" s="23"/>
      <c r="R49" s="23"/>
      <c r="S49" s="23"/>
      <c r="T49" s="23"/>
      <c r="U49" s="23"/>
      <c r="V49" s="23"/>
      <c r="W49" s="23"/>
      <c r="X49" s="23"/>
    </row>
    <row r="50" spans="1:24" x14ac:dyDescent="0.25">
      <c r="A50" s="23"/>
      <c r="B50" s="23"/>
      <c r="C50" s="23"/>
      <c r="D50" s="23"/>
      <c r="E50" s="23"/>
      <c r="F50" s="23"/>
      <c r="G50" s="23"/>
      <c r="H50" s="23"/>
      <c r="I50" s="23"/>
      <c r="J50" s="23"/>
      <c r="K50" s="23"/>
      <c r="L50" s="23"/>
      <c r="M50" s="23"/>
      <c r="N50" s="23"/>
      <c r="O50" s="23"/>
      <c r="P50" s="23"/>
      <c r="Q50" s="23"/>
      <c r="R50" s="23"/>
      <c r="S50" s="23"/>
      <c r="T50" s="23"/>
      <c r="U50" s="23"/>
      <c r="V50" s="23"/>
      <c r="W50" s="23"/>
      <c r="X50" s="23"/>
    </row>
    <row r="51" spans="1:24" x14ac:dyDescent="0.25">
      <c r="A51" s="23"/>
      <c r="B51" s="23"/>
      <c r="C51" s="23"/>
      <c r="D51" s="23"/>
      <c r="E51" s="23"/>
      <c r="F51" s="23"/>
      <c r="G51" s="23"/>
      <c r="H51" s="23"/>
      <c r="I51" s="23"/>
      <c r="J51" s="23"/>
      <c r="K51" s="23"/>
      <c r="L51" s="23"/>
      <c r="M51" s="23"/>
      <c r="N51" s="23"/>
      <c r="O51" s="23"/>
      <c r="P51" s="23"/>
      <c r="Q51" s="23"/>
      <c r="R51" s="23"/>
      <c r="S51" s="23"/>
      <c r="T51" s="23"/>
      <c r="U51" s="23"/>
      <c r="V51" s="23"/>
      <c r="W51" s="23"/>
      <c r="X51" s="23"/>
    </row>
    <row r="52" spans="1:24" x14ac:dyDescent="0.25">
      <c r="A52" s="23"/>
      <c r="B52" s="23"/>
      <c r="C52" s="23"/>
      <c r="D52" s="23"/>
      <c r="E52" s="23"/>
      <c r="F52" s="23"/>
      <c r="G52" s="23"/>
      <c r="H52" s="23"/>
      <c r="I52" s="23"/>
      <c r="J52" s="23"/>
      <c r="K52" s="23"/>
      <c r="L52" s="23"/>
      <c r="M52" s="23"/>
      <c r="N52" s="23"/>
      <c r="O52" s="23"/>
      <c r="P52" s="23"/>
      <c r="Q52" s="23"/>
      <c r="R52" s="23"/>
      <c r="S52" s="23"/>
      <c r="T52" s="23"/>
      <c r="U52" s="23"/>
      <c r="V52" s="23"/>
      <c r="W52" s="23"/>
      <c r="X52" s="23"/>
    </row>
    <row r="53" spans="1:24" x14ac:dyDescent="0.25">
      <c r="A53" s="23"/>
      <c r="B53" s="23"/>
      <c r="C53" s="23"/>
      <c r="D53" s="23"/>
      <c r="E53" s="23"/>
      <c r="F53" s="23"/>
      <c r="G53" s="23"/>
      <c r="H53" s="23"/>
      <c r="I53" s="23"/>
      <c r="J53" s="23"/>
      <c r="K53" s="23"/>
      <c r="L53" s="23"/>
      <c r="M53" s="23"/>
      <c r="N53" s="23"/>
      <c r="O53" s="23"/>
      <c r="P53" s="23"/>
      <c r="Q53" s="23"/>
      <c r="R53" s="23"/>
      <c r="S53" s="23"/>
      <c r="T53" s="23"/>
      <c r="U53" s="23"/>
      <c r="V53" s="23"/>
      <c r="W53" s="23"/>
      <c r="X53" s="23"/>
    </row>
    <row r="54" spans="1:24" x14ac:dyDescent="0.25">
      <c r="A54" s="23"/>
      <c r="B54" s="23"/>
      <c r="C54" s="23"/>
      <c r="D54" s="23"/>
      <c r="E54" s="23"/>
      <c r="F54" s="23"/>
      <c r="G54" s="23"/>
      <c r="H54" s="23"/>
      <c r="I54" s="23"/>
      <c r="J54" s="23"/>
      <c r="K54" s="23"/>
      <c r="L54" s="23"/>
      <c r="M54" s="23"/>
      <c r="N54" s="23"/>
      <c r="O54" s="23"/>
      <c r="P54" s="23"/>
      <c r="Q54" s="23"/>
      <c r="R54" s="23"/>
      <c r="S54" s="23"/>
      <c r="T54" s="23"/>
      <c r="U54" s="23"/>
      <c r="V54" s="23"/>
      <c r="W54" s="23"/>
      <c r="X54" s="23"/>
    </row>
    <row r="55" spans="1:24" x14ac:dyDescent="0.25">
      <c r="A55" s="23"/>
      <c r="B55" s="23"/>
      <c r="C55" s="23"/>
      <c r="D55" s="23"/>
      <c r="E55" s="23"/>
      <c r="F55" s="23"/>
      <c r="G55" s="23"/>
      <c r="H55" s="23"/>
      <c r="I55" s="23"/>
      <c r="J55" s="23"/>
      <c r="K55" s="23"/>
      <c r="L55" s="23"/>
      <c r="M55" s="23"/>
      <c r="N55" s="23"/>
      <c r="O55" s="23"/>
      <c r="P55" s="23"/>
      <c r="Q55" s="23"/>
      <c r="R55" s="23"/>
      <c r="S55" s="23"/>
      <c r="T55" s="23"/>
      <c r="U55" s="23"/>
      <c r="V55" s="23"/>
      <c r="W55" s="23"/>
      <c r="X55" s="23"/>
    </row>
    <row r="56" spans="1:24" x14ac:dyDescent="0.25">
      <c r="A56" s="23"/>
      <c r="B56" s="23"/>
      <c r="C56" s="23"/>
      <c r="D56" s="23"/>
      <c r="E56" s="23"/>
      <c r="F56" s="23"/>
      <c r="G56" s="23"/>
      <c r="H56" s="23"/>
      <c r="I56" s="23"/>
      <c r="J56" s="23"/>
      <c r="K56" s="23"/>
      <c r="L56" s="23"/>
      <c r="M56" s="23"/>
      <c r="N56" s="23"/>
      <c r="O56" s="23"/>
      <c r="P56" s="23"/>
      <c r="Q56" s="23"/>
      <c r="R56" s="23"/>
      <c r="S56" s="23"/>
      <c r="T56" s="23"/>
      <c r="U56" s="23"/>
      <c r="V56" s="23"/>
      <c r="W56" s="23"/>
      <c r="X56" s="23"/>
    </row>
    <row r="57" spans="1:24" x14ac:dyDescent="0.25">
      <c r="A57" s="23"/>
      <c r="B57" s="23"/>
      <c r="C57" s="23"/>
      <c r="D57" s="23"/>
      <c r="E57" s="23"/>
      <c r="F57" s="23"/>
      <c r="G57" s="23"/>
      <c r="H57" s="23"/>
      <c r="I57" s="23"/>
      <c r="J57" s="23"/>
      <c r="K57" s="23"/>
      <c r="L57" s="23"/>
      <c r="M57" s="23"/>
      <c r="N57" s="23"/>
      <c r="O57" s="23"/>
      <c r="P57" s="23"/>
      <c r="Q57" s="23"/>
      <c r="R57" s="23"/>
      <c r="S57" s="23"/>
      <c r="T57" s="23"/>
      <c r="U57" s="23"/>
      <c r="V57" s="23"/>
      <c r="W57" s="23"/>
      <c r="X57" s="23"/>
    </row>
    <row r="58" spans="1:24" x14ac:dyDescent="0.25">
      <c r="A58" s="23"/>
      <c r="B58" s="23"/>
      <c r="C58" s="23"/>
      <c r="D58" s="23"/>
      <c r="E58" s="23"/>
      <c r="F58" s="23"/>
      <c r="G58" s="23"/>
      <c r="H58" s="23"/>
      <c r="I58" s="23"/>
      <c r="J58" s="23"/>
      <c r="K58" s="23"/>
      <c r="L58" s="23"/>
      <c r="M58" s="23"/>
      <c r="N58" s="23"/>
      <c r="O58" s="23"/>
      <c r="P58" s="23"/>
      <c r="Q58" s="23"/>
      <c r="R58" s="23"/>
      <c r="S58" s="23"/>
      <c r="T58" s="23"/>
      <c r="U58" s="23"/>
      <c r="V58" s="23"/>
      <c r="W58" s="23"/>
      <c r="X58" s="23"/>
    </row>
    <row r="59" spans="1:24" x14ac:dyDescent="0.25">
      <c r="A59" s="23"/>
      <c r="B59" s="23"/>
      <c r="C59" s="23"/>
      <c r="D59" s="23"/>
      <c r="E59" s="23"/>
      <c r="F59" s="23"/>
      <c r="G59" s="23"/>
      <c r="H59" s="23"/>
      <c r="I59" s="23"/>
      <c r="J59" s="23"/>
      <c r="K59" s="23"/>
      <c r="L59" s="23"/>
      <c r="M59" s="23"/>
      <c r="N59" s="23"/>
      <c r="O59" s="23"/>
      <c r="P59" s="23"/>
      <c r="Q59" s="23"/>
      <c r="R59" s="23"/>
      <c r="S59" s="23"/>
      <c r="T59" s="23"/>
      <c r="U59" s="23"/>
      <c r="V59" s="23"/>
      <c r="W59" s="23"/>
      <c r="X59" s="23"/>
    </row>
    <row r="60" spans="1:24" x14ac:dyDescent="0.25">
      <c r="A60" s="23"/>
      <c r="B60" s="23"/>
      <c r="C60" s="23"/>
      <c r="D60" s="23"/>
      <c r="E60" s="23"/>
      <c r="F60" s="23"/>
      <c r="G60" s="23"/>
      <c r="H60" s="23"/>
      <c r="I60" s="23"/>
      <c r="J60" s="23"/>
      <c r="K60" s="23"/>
      <c r="L60" s="23"/>
      <c r="M60" s="23"/>
      <c r="N60" s="23"/>
      <c r="O60" s="23"/>
      <c r="P60" s="23"/>
      <c r="Q60" s="23"/>
      <c r="R60" s="23"/>
      <c r="S60" s="23"/>
      <c r="T60" s="23"/>
      <c r="U60" s="23"/>
      <c r="V60" s="23"/>
      <c r="W60" s="23"/>
      <c r="X60" s="23"/>
    </row>
    <row r="61" spans="1:24" x14ac:dyDescent="0.25">
      <c r="A61" s="23"/>
      <c r="B61" s="23"/>
      <c r="C61" s="23"/>
      <c r="D61" s="23"/>
      <c r="E61" s="23"/>
      <c r="F61" s="23"/>
      <c r="G61" s="23"/>
      <c r="H61" s="23"/>
      <c r="I61" s="23"/>
      <c r="J61" s="23"/>
      <c r="K61" s="23"/>
      <c r="L61" s="23"/>
      <c r="M61" s="23"/>
      <c r="N61" s="23"/>
      <c r="O61" s="23"/>
      <c r="P61" s="23"/>
      <c r="Q61" s="23"/>
      <c r="R61" s="23"/>
      <c r="S61" s="23"/>
      <c r="T61" s="23"/>
      <c r="U61" s="23"/>
      <c r="V61" s="23"/>
      <c r="W61" s="23"/>
      <c r="X61" s="23"/>
    </row>
    <row r="62" spans="1:24" x14ac:dyDescent="0.25">
      <c r="A62" s="23"/>
      <c r="B62" s="23"/>
      <c r="C62" s="23"/>
      <c r="D62" s="23"/>
      <c r="E62" s="23"/>
      <c r="F62" s="23"/>
      <c r="G62" s="23"/>
      <c r="H62" s="23"/>
      <c r="I62" s="23"/>
      <c r="J62" s="23"/>
      <c r="K62" s="23"/>
      <c r="L62" s="23"/>
      <c r="M62" s="23"/>
      <c r="N62" s="23"/>
      <c r="O62" s="23"/>
      <c r="P62" s="23"/>
      <c r="Q62" s="23"/>
      <c r="R62" s="23"/>
      <c r="S62" s="23"/>
      <c r="T62" s="23"/>
      <c r="U62" s="23"/>
      <c r="V62" s="23"/>
      <c r="W62" s="23"/>
      <c r="X62" s="23"/>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project</vt:lpstr>
      <vt:lpstr>important KPIs</vt:lpstr>
      <vt:lpstr>pivot tables and slicers </vt:lpstr>
      <vt:lpstr>dashboard 1</vt:lpstr>
      <vt:lpstr>dashbioard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Gourishree Midina</cp:lastModifiedBy>
  <dcterms:created xsi:type="dcterms:W3CDTF">2026-10-21T17:04:35Z</dcterms:created>
  <dcterms:modified xsi:type="dcterms:W3CDTF">2026-10-22T06:40:38Z</dcterms:modified>
</cp:coreProperties>
</file>